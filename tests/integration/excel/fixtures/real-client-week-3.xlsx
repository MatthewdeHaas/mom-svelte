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 W3" state="visible" r:id="rId4"/>
    <sheet sheetId="2" name="Labels W1 01.05" state="visible" r:id="rId5"/>
    <sheet sheetId="3" name="PS MIYM W1 1.12" state="visible" r:id="rId6"/>
    <sheet sheetId="4" name="PS CHATS W1 1.05" state="visible" r:id="rId7"/>
    <sheet sheetId="5" name="PS CHATS W1 1.07" state="visible" r:id="rId8"/>
    <sheet sheetId="6" name="SMH 1.05 to 1.09" state="visible" r:id="rId9"/>
    <sheet sheetId="7" name="SLEC 1.05 and 1.07" state="visible" r:id="rId10"/>
  </sheets>
  <calcPr calcId="171027"/>
</workbook>
</file>

<file path=xl/sharedStrings.xml><?xml version="1.0" encoding="utf-8"?>
<sst xmlns="http://schemas.openxmlformats.org/spreadsheetml/2006/main" count="6157" uniqueCount="265">
  <si>
    <t>Customer</t>
  </si>
  <si>
    <t>Serving Date</t>
  </si>
  <si>
    <t>Recipe</t>
  </si>
  <si>
    <t>Item</t>
  </si>
  <si>
    <t>Meal</t>
  </si>
  <si>
    <t>Day</t>
  </si>
  <si>
    <t>Portion Size</t>
  </si>
  <si>
    <t>Order Amount</t>
  </si>
  <si>
    <t>Quantity to Produce/Ship</t>
  </si>
  <si>
    <t>Client</t>
  </si>
  <si>
    <t>Frozen</t>
  </si>
  <si>
    <t xml:space="preserve"> Chilled</t>
  </si>
  <si>
    <t>Shipment Date</t>
  </si>
  <si>
    <t>Aurora CHATS</t>
  </si>
  <si>
    <t>4 way  Vegetables</t>
  </si>
  <si>
    <t>Lunch</t>
  </si>
  <si>
    <t>x</t>
  </si>
  <si>
    <t>Bradford CHATS</t>
  </si>
  <si>
    <t>MIYM</t>
  </si>
  <si>
    <t>Richmond Hill CHATS</t>
  </si>
  <si>
    <t>SLEC</t>
  </si>
  <si>
    <t>Vaughan CHATS</t>
  </si>
  <si>
    <t>SMH</t>
  </si>
  <si>
    <t>Apple</t>
  </si>
  <si>
    <t>Breakfast</t>
  </si>
  <si>
    <t>Snack</t>
  </si>
  <si>
    <t>Apple Currant Flatbread</t>
  </si>
  <si>
    <t>Applesauce</t>
  </si>
  <si>
    <t>Snack R</t>
  </si>
  <si>
    <t>Xxxxx - Xxxxx</t>
  </si>
  <si>
    <t>Xxxxxx - Xxxxx, Xxxxxxxxx</t>
  </si>
  <si>
    <t>Xxxxx X - Xxxxx</t>
  </si>
  <si>
    <t>Xxxxxx - Xxxxx</t>
  </si>
  <si>
    <t>Xxxxx - Xxxxx, Xxxxxx, Xxxx</t>
  </si>
  <si>
    <t>Xxxxx  - Xxxxx</t>
  </si>
  <si>
    <t>Xxxxx - Xxx Xxxxxx, Xxxxxxxxxxxx</t>
  </si>
  <si>
    <t>Bagel</t>
  </si>
  <si>
    <t>Banana</t>
  </si>
  <si>
    <t>Melon</t>
  </si>
  <si>
    <t>Banana Oat Bar</t>
  </si>
  <si>
    <t>Biscoff Biscuits</t>
  </si>
  <si>
    <t>Bistro mixed vegetables</t>
  </si>
  <si>
    <t>Carlton</t>
  </si>
  <si>
    <t>Gerrard</t>
  </si>
  <si>
    <t>Northumberland</t>
  </si>
  <si>
    <t>Rusholme</t>
  </si>
  <si>
    <t>Breton Bites</t>
  </si>
  <si>
    <t>Broccoli and Cheddar Soup</t>
  </si>
  <si>
    <t>Soup</t>
  </si>
  <si>
    <t>California Mixed Vegetables</t>
  </si>
  <si>
    <t>RH Saturday CHATS</t>
  </si>
  <si>
    <t>Carrot Orange Oat Round</t>
  </si>
  <si>
    <t>Cheddar Cheese Slices</t>
  </si>
  <si>
    <t>Cheese Strings</t>
  </si>
  <si>
    <t>Chicken and White Bean Soup</t>
  </si>
  <si>
    <t>Soup R</t>
  </si>
  <si>
    <t>Xxxxxxxxx - Xxxxx, Xxxx., Xxxxxx</t>
  </si>
  <si>
    <t>Chicken Burger</t>
  </si>
  <si>
    <t>Chicken Stew</t>
  </si>
  <si>
    <t>Chocolate Chip Banana Bread</t>
  </si>
  <si>
    <t>Cinnamon or Cranberry Scone</t>
  </si>
  <si>
    <t>Clementines</t>
  </si>
  <si>
    <t>Corn</t>
  </si>
  <si>
    <t>Lunch R</t>
  </si>
  <si>
    <t>Xxxxx - Xxxx, Xxxxx Xxx</t>
  </si>
  <si>
    <t>Cream of Celery Soup</t>
  </si>
  <si>
    <t>Diced Carrots</t>
  </si>
  <si>
    <t>Xxxxx - Xxxxxx, Xxxxxx, Xxxx, Xxxxxx, Xxxxx, Xxxxxx, Xxxxxxx</t>
  </si>
  <si>
    <t>Xxxxx - Xxxxx Xxx, Xxxx</t>
  </si>
  <si>
    <t>Xxxx - Xxxx, Xxxx, Xxxxx Xxx</t>
  </si>
  <si>
    <t>Xxxx - Xxxxx Xxx, Xxxx, Xxxx</t>
  </si>
  <si>
    <t>Dinner Roll</t>
  </si>
  <si>
    <t>Xxxx - Xxxx, Xxxxx, Xxxx, Xxx Xxxxx</t>
  </si>
  <si>
    <t>Dinner Roll - mini</t>
  </si>
  <si>
    <t>Egg Salad</t>
  </si>
  <si>
    <t>Xxxxxxx X - Xxxx</t>
  </si>
  <si>
    <t>Xxxxxx X - Xxxx</t>
  </si>
  <si>
    <t>English Muffin</t>
  </si>
  <si>
    <t>Fudgy Brownie Bar</t>
  </si>
  <si>
    <t>Garlic Bread</t>
  </si>
  <si>
    <t>Gluten Free Bread</t>
  </si>
  <si>
    <t>Xxxxxxx X - Xxxxxx</t>
  </si>
  <si>
    <t>Xxxx X - Xxxxxx</t>
  </si>
  <si>
    <t>Xxxx X - Xxxxx, Xxxxxx, Xxxxx</t>
  </si>
  <si>
    <t>Gluten Free Bun</t>
  </si>
  <si>
    <t>Gluten Free Muffin</t>
  </si>
  <si>
    <t>Goldfish Crackers</t>
  </si>
  <si>
    <t>Granola Bar</t>
  </si>
  <si>
    <t>Granola Minis</t>
  </si>
  <si>
    <t>Hamburger Bun</t>
  </si>
  <si>
    <t>Hardboiled Egg</t>
  </si>
  <si>
    <t>Harvest Vegetable Soup</t>
  </si>
  <si>
    <t>Hoisin Beef Burger</t>
  </si>
  <si>
    <t>Xxxxxx - Xxxxxxx, Xxxxxx, Xxxxx, Xxxxxxxx</t>
  </si>
  <si>
    <t>Hoisin diced beef stir fry with onions and peppers</t>
  </si>
  <si>
    <t>Hoisin legumes with onions and peppers</t>
  </si>
  <si>
    <t>Xxxxx - Xxxx, Xxxx</t>
  </si>
  <si>
    <t>Xxxxx - Xxxxxxxxxx x/x</t>
  </si>
  <si>
    <t>Xxxxxx - Xxxx, Xxxx, Xxxx</t>
  </si>
  <si>
    <t>Xxxx - Xxxx, Xxxx</t>
  </si>
  <si>
    <t>Xxxx - Xxx 0</t>
  </si>
  <si>
    <t>Xxxx 0 - Xxx 0</t>
  </si>
  <si>
    <t>Hummus</t>
  </si>
  <si>
    <t>Xxxx - Xxxxx</t>
  </si>
  <si>
    <t>Iceberg Lettuce -  1 = 17 portions</t>
  </si>
  <si>
    <t>xx xxx  xxx xxxxx xxx</t>
  </si>
  <si>
    <t>Iceberg Lettuce - 1 = 12 portions</t>
  </si>
  <si>
    <t>Legume Stew</t>
  </si>
  <si>
    <t>Xxxxxxxxx - Xxxxx</t>
  </si>
  <si>
    <t>Xxxxxxxx - Xxxxxxxxxx x/x</t>
  </si>
  <si>
    <t>Xxxxxx - Xxxxxxxxxx x/x</t>
  </si>
  <si>
    <t>Lentil Soup</t>
  </si>
  <si>
    <t>Xxxxxx - Xxx 0 x/x/x</t>
  </si>
  <si>
    <t>Xxxxxxxx - Xxxxxxx</t>
  </si>
  <si>
    <t>Xxxxxxx - Xxxxx</t>
  </si>
  <si>
    <t>Long Grain White Rice</t>
  </si>
  <si>
    <t>xx xxxx xxx Xxxxx</t>
  </si>
  <si>
    <t>Xxxx - Xxxxx, Xxxxx, Xxxxxx</t>
  </si>
  <si>
    <t>Xxxxxxx - Xxxx, Xxxxx, Xxxx</t>
  </si>
  <si>
    <t>Moroccan Chickpeas</t>
  </si>
  <si>
    <t>Niagara mixed vegetables</t>
  </si>
  <si>
    <t>Oatmeal Banana Crisp Biscuit</t>
  </si>
  <si>
    <t>Oatmeal Cranberry Cookie</t>
  </si>
  <si>
    <t>Orange</t>
  </si>
  <si>
    <t>Pear</t>
  </si>
  <si>
    <t>Peas</t>
  </si>
  <si>
    <t>Xxxxx X - Xxxxxx, Xxxx</t>
  </si>
  <si>
    <t>Peas and Corn</t>
  </si>
  <si>
    <t>Pita Pocket</t>
  </si>
  <si>
    <t>Plain Pasta</t>
  </si>
  <si>
    <t>Xxxx - Xxxx, Xxxxx Xxxxxx</t>
  </si>
  <si>
    <t>Roasted Potatoes</t>
  </si>
  <si>
    <t>Roasted Red Pepper Soup</t>
  </si>
  <si>
    <t>Scrambled Egg</t>
  </si>
  <si>
    <t>Strawberry Applesauce</t>
  </si>
  <si>
    <t>Xxxxxx - Xxxxxx</t>
  </si>
  <si>
    <t>Tofu Pasta Bake no dairy</t>
  </si>
  <si>
    <t>Xxxxxxxx X - Xxxxx, Xxxxxxxxxx x/x</t>
  </si>
  <si>
    <t>Tofu Pasta Bake Pesto</t>
  </si>
  <si>
    <t>Xxxxxx - Xxxx</t>
  </si>
  <si>
    <t>xx xxxx</t>
  </si>
  <si>
    <t>Tofu Pesto Rice</t>
  </si>
  <si>
    <t>Tomato Whole - 1 = 6 portions</t>
  </si>
  <si>
    <t xml:space="preserve">Tuna Salad </t>
  </si>
  <si>
    <t>Turkey Bacon</t>
  </si>
  <si>
    <t>Turkey Stew</t>
  </si>
  <si>
    <t>Turkey Stew - no Tomato/Potato</t>
  </si>
  <si>
    <t>Vegan Chocolate Chip Cookie</t>
  </si>
  <si>
    <t>Vegetarian Burger</t>
  </si>
  <si>
    <t>White fish pasta bake pesto</t>
  </si>
  <si>
    <t>White fish with tomato sauce bake</t>
  </si>
  <si>
    <t>Whole Wheat Bread</t>
  </si>
  <si>
    <t>Whole Wheat Vegan Muffin</t>
  </si>
  <si>
    <t>Yoggies</t>
  </si>
  <si>
    <t>Yogurt - Assorted Flavours</t>
  </si>
  <si>
    <t/>
  </si>
  <si>
    <t>XXXX</t>
  </si>
  <si>
    <t>Xxxx</t>
  </si>
  <si>
    <t>Xxxxx</t>
  </si>
  <si>
    <t>Xxxxxxx Xxxx</t>
  </si>
  <si>
    <t>Xxxxx Xxxxxx</t>
  </si>
  <si>
    <t>Xxxxxxxx xx Xxxxxxx/Xxxx</t>
  </si>
  <si>
    <t># ____ xx ____</t>
  </si>
  <si>
    <t>Xxxxxxxx XXXXX</t>
  </si>
  <si>
    <t>Xxxxxxxx Xxxx XXXXX</t>
  </si>
  <si>
    <t>XXX</t>
  </si>
  <si>
    <t>Xxxxxxxxx</t>
  </si>
  <si>
    <t>Xxxxxx XXXXX</t>
  </si>
  <si>
    <t>Xxxxxxx XXXXX</t>
  </si>
  <si>
    <t>Xxxxx Xxxxxxx Xxxxxxxxx</t>
  </si>
  <si>
    <t>Xxxxxxxxxx</t>
  </si>
  <si>
    <t>Xxxxx Xxxx</t>
  </si>
  <si>
    <t>XX Xxxxxxxx XXXXX</t>
  </si>
  <si>
    <t>Xxxxx Xxxxx</t>
  </si>
  <si>
    <t>Xxxxx X</t>
  </si>
  <si>
    <t>Xxxxx X - Xxxxxxxxxx x/x</t>
  </si>
  <si>
    <t>Xxxxxx</t>
  </si>
  <si>
    <t>Xxxxxx Xxx Xxx</t>
  </si>
  <si>
    <t>Xxxx Xxxxxx</t>
  </si>
  <si>
    <t>Xxxxxxx Xxxxxxxx</t>
  </si>
  <si>
    <t>Xxxxxx xxxxx xxxxxxxxxx</t>
  </si>
  <si>
    <t>Xxxxxx Xxxxxxxx</t>
  </si>
  <si>
    <t>Xxxxx X - Xxxxx, Xxxxxx, Xxxxx Xxxx, Xxxxxx, Xxxxx, Xxxxxx, Xxxxxxx</t>
  </si>
  <si>
    <t>Xxxxxxxx xxx Xxxxxxx Xxxx</t>
  </si>
  <si>
    <t>Xxxxxx Xxxxx</t>
  </si>
  <si>
    <t>Xxxxxx Xxxxxx</t>
  </si>
  <si>
    <t>Xxxxxx Xxxxxxx</t>
  </si>
  <si>
    <t>Xxxxxxx xxx Xxxxx Xxxx Xxxx</t>
  </si>
  <si>
    <t>Xxxxxxx Xxxxxx - XX Xxxxx</t>
  </si>
  <si>
    <t>Xxxxxxxxx Xxxx Xxxxxx Xxxxx</t>
  </si>
  <si>
    <t>Xxxxxxxx Xxxxx</t>
  </si>
  <si>
    <t>Xxxxxxxxxxx</t>
  </si>
  <si>
    <t>Xxxxx xx Xxxxxx Xxxx</t>
  </si>
  <si>
    <t>Xxxxx Xxxxxxx</t>
  </si>
  <si>
    <t>Xxxxxxxxx Xxxxxxxx (0/xxxx)</t>
  </si>
  <si>
    <t>Xxxxxx Xxxx</t>
  </si>
  <si>
    <t>Xxxxxxx Xxxxxx</t>
  </si>
  <si>
    <t>Xxxxx Xxxxxxx Xxx</t>
  </si>
  <si>
    <t>Xxxxxx Xxxx Xxxxx</t>
  </si>
  <si>
    <t>Xxxxxx Xxxx Xxxxxx Xxx</t>
  </si>
  <si>
    <t>Xxxxxx Xxxx Xxxxxx</t>
  </si>
  <si>
    <t>Xxxxxxxx Xxxxxxxx</t>
  </si>
  <si>
    <t>Xxxxxxx Xxx</t>
  </si>
  <si>
    <t>Xxxxxxx Xxxxx</t>
  </si>
  <si>
    <t>Xxxxxxxxx Xxx</t>
  </si>
  <si>
    <t>Xxxxxxxxxx Xxx</t>
  </si>
  <si>
    <t>Xxxxxxx Xxxxxxxxx Xxxx</t>
  </si>
  <si>
    <t>Xxxxxxx Xxxxxxx -  0 = 00 xxxxxxxx</t>
  </si>
  <si>
    <t>Xxxxxxx Xxxxx Xxxxxxxxxx</t>
  </si>
  <si>
    <t>Xxxxxx Xxxx xxx Xxxxxxx Xxxxxxxxx</t>
  </si>
  <si>
    <t>Xxxx X</t>
  </si>
  <si>
    <t>Xxxxxxxxx X - Xxxxx, Xxxxxxxxx, Xxxxxx</t>
  </si>
  <si>
    <t>Xxxxx - Xxx 0</t>
  </si>
  <si>
    <t>Xxxxx - Xxxxx, Xxxx</t>
  </si>
  <si>
    <t>Xxxxxxxxx X - Xxxxx</t>
  </si>
  <si>
    <t>Xxxxxxx xxxx xxx xxxxxxx xxxxxxxxx</t>
  </si>
  <si>
    <t>Xxxxxxx X - Xxxxx</t>
  </si>
  <si>
    <t>Xxxx - Xxxxxx</t>
  </si>
  <si>
    <t>Xxxx Xxxxx Xxxxx Xxxx</t>
  </si>
  <si>
    <t>Xxx xxx Xxxxxx</t>
  </si>
  <si>
    <t>Xxxx Xxxx Xxxxxxx Xxx</t>
  </si>
  <si>
    <t>Xxxxxx xxxxxxxx - XX</t>
  </si>
  <si>
    <t>Xxxxxxx Xxxxxx Xxxxx Xxxxxxx</t>
  </si>
  <si>
    <t>Xxxxxxx Xxxxxxxxx Xxxxxx</t>
  </si>
  <si>
    <t>xx xxxxxxxxxx xxx xxxxxx</t>
  </si>
  <si>
    <t>XXxxx</t>
  </si>
  <si>
    <t>Xxxxxxx Xxx Xxxxxx Xxxx</t>
  </si>
  <si>
    <t>Xxxxx Xxxx Xxxxxxx</t>
  </si>
  <si>
    <t>Xxxxxxxxxx Xxxxxxxxxx</t>
  </si>
  <si>
    <t>Xxxxxx Xxxxx - 0 = 0 xxxxxxxx</t>
  </si>
  <si>
    <t>Xxxxxx Xxxxxxxxx xx Xxxxx</t>
  </si>
  <si>
    <t>Xxxxxx Xxxxxxxxx xx Xxxxxx Xxxxx</t>
  </si>
  <si>
    <t>Xxxxx Xxxxxxxxx Xxxx Xxxxxx</t>
  </si>
  <si>
    <t>Xxxxxxxxxx Xxxxx</t>
  </si>
  <si>
    <t>Xxxxxxxxxx Xxxxxx</t>
  </si>
  <si>
    <t>Xxxx X - Xxxxxxxxxx x/x/x</t>
  </si>
  <si>
    <t>Xxxxx X - Xxxx, Xxxx</t>
  </si>
  <si>
    <t>Xxxxxx X - Xxxx, Xxxx, Xxxx</t>
  </si>
  <si>
    <t>Xxxxxxxxxx Xxxxxxxxx xx Xxxxxx Xxxxx</t>
  </si>
  <si>
    <t>Xxxxx Xxxxx Xxxx Xxxxx Xxxxxxxx Xxxxx</t>
  </si>
  <si>
    <t>Xxxxx Xxxxx Xxxx Xxxxx</t>
  </si>
  <si>
    <t>Xxxxx Xxxxx Xxxx</t>
  </si>
  <si>
    <t>Xxxxx Xxxxx Xxxxx Xxxxxx Xxxxxx</t>
  </si>
  <si>
    <t>Xxxxx Xxxxx Xxxxx Xxxxxxxxx Xxxxxx</t>
  </si>
  <si>
    <t>Xxxxxx - Xxxxxxxx Xxxxxxxx</t>
  </si>
  <si>
    <t>OFFICE USE ONLY</t>
  </si>
  <si>
    <t>Xxxxxxx</t>
  </si>
  <si>
    <t>Xxx xx Xxxxxxx</t>
  </si>
  <si>
    <t>Xxxxxx xxx Xxxxxxxxxxxx</t>
  </si>
  <si>
    <t>XXXXXXX XXXX</t>
  </si>
  <si>
    <t>Xxxxxxxx Xxxx - Xxx 00</t>
  </si>
  <si>
    <t>Xxxxxxxx</t>
  </si>
  <si>
    <t>Xxx</t>
  </si>
  <si>
    <t xml:space="preserve"> Xxxxxxx</t>
  </si>
  <si>
    <t># xx Xxxx/Xxxx</t>
  </si>
  <si>
    <t>Xxx Xxxxx - Xxxxxx xxxxxx xx XXX</t>
  </si>
  <si>
    <t>Xxxx xx Xxxxxxx</t>
  </si>
  <si>
    <t>Xxx xxxxx Xxxxxxxxxxxx</t>
  </si>
  <si>
    <t>Xxxx xx Xxx 0</t>
  </si>
  <si>
    <t>Xxxxxx xx Xxxx</t>
  </si>
  <si>
    <t>Xxxxxx Xx</t>
  </si>
  <si>
    <t>Xxxxxxx Xx</t>
  </si>
  <si>
    <t>XXXXXX XXX XXXX</t>
  </si>
  <si>
    <t>Xxxx Xxx 00</t>
  </si>
  <si>
    <t>Xxxx Xxx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</si>
</sst>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009]d/mmm/yy;@"/>
    <numFmt numFmtId="165" formatCode="0.0"/>
    <numFmt numFmtId="166" formatCode="[$-1009]d/mmm/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46182</v>
      </c>
      <c r="C2" t="s">
        <v>14</v>
      </c>
      <c r="D2" t="s">
        <v>14</v>
      </c>
      <c r="E2" t="s">
        <v>15</v>
      </c>
      <c r="F2">
        <v>2</v>
      </c>
      <c r="G2">
        <v>100</v>
      </c>
      <c r="H2">
        <v>28</v>
      </c>
      <c r="I2">
        <f>H2*G2</f>
        <v>2800</v>
      </c>
      <c r="L2" t="s">
        <v>16</v>
      </c>
      <c r="M2" s="1">
        <v>46181</v>
      </c>
    </row>
    <row r="3" spans="1:13" x14ac:dyDescent="0.25">
      <c r="A3" t="s">
        <v>17</v>
      </c>
      <c r="B3" s="1">
        <v>46182</v>
      </c>
      <c r="C3" t="s">
        <v>14</v>
      </c>
      <c r="D3" t="s">
        <v>14</v>
      </c>
      <c r="E3" t="s">
        <v>15</v>
      </c>
      <c r="F3">
        <v>2</v>
      </c>
      <c r="G3">
        <v>100</v>
      </c>
      <c r="H3">
        <v>15</v>
      </c>
      <c r="I3">
        <f>H3*G3</f>
        <v>1500</v>
      </c>
      <c r="L3" t="s">
        <v>16</v>
      </c>
      <c r="M3" s="1">
        <v>46181</v>
      </c>
    </row>
    <row r="4" spans="1:13" x14ac:dyDescent="0.25">
      <c r="A4" t="s">
        <v>18</v>
      </c>
      <c r="B4" s="1">
        <v>46190</v>
      </c>
      <c r="C4" t="s">
        <v>14</v>
      </c>
      <c r="D4" t="s">
        <v>14</v>
      </c>
      <c r="E4" t="s">
        <v>15</v>
      </c>
      <c r="F4">
        <v>2</v>
      </c>
      <c r="G4">
        <v>75</v>
      </c>
      <c r="H4">
        <v>8</v>
      </c>
      <c r="I4">
        <f>H4*G4</f>
        <v>600</v>
      </c>
      <c r="K4" t="s">
        <v>16</v>
      </c>
      <c r="M4" s="1">
        <v>46188</v>
      </c>
    </row>
    <row r="5" spans="1:13" x14ac:dyDescent="0.25">
      <c r="A5" t="s">
        <v>19</v>
      </c>
      <c r="B5" s="1">
        <v>46182</v>
      </c>
      <c r="C5" t="s">
        <v>14</v>
      </c>
      <c r="D5" t="s">
        <v>14</v>
      </c>
      <c r="E5" t="s">
        <v>15</v>
      </c>
      <c r="F5">
        <v>2</v>
      </c>
      <c r="G5">
        <v>100</v>
      </c>
      <c r="H5">
        <v>25</v>
      </c>
      <c r="I5">
        <f>H5*G5</f>
        <v>2500</v>
      </c>
      <c r="L5" t="s">
        <v>16</v>
      </c>
      <c r="M5" s="1">
        <v>46181</v>
      </c>
    </row>
    <row r="6" spans="1:13" x14ac:dyDescent="0.25">
      <c r="A6" t="s">
        <v>20</v>
      </c>
      <c r="B6" s="1">
        <v>46182</v>
      </c>
      <c r="C6" t="s">
        <v>14</v>
      </c>
      <c r="D6" t="s">
        <v>14</v>
      </c>
      <c r="E6" t="s">
        <v>15</v>
      </c>
      <c r="F6">
        <v>2</v>
      </c>
      <c r="G6">
        <v>100</v>
      </c>
      <c r="H6">
        <v>48</v>
      </c>
      <c r="I6">
        <f>H6*G6</f>
        <v>4800</v>
      </c>
      <c r="L6" t="s">
        <v>16</v>
      </c>
      <c r="M6" s="1">
        <v>46181</v>
      </c>
    </row>
    <row r="7" spans="1:13" x14ac:dyDescent="0.25">
      <c r="A7" t="s">
        <v>21</v>
      </c>
      <c r="B7" s="1">
        <v>46182</v>
      </c>
      <c r="C7" t="s">
        <v>14</v>
      </c>
      <c r="D7" t="s">
        <v>14</v>
      </c>
      <c r="E7" t="s">
        <v>15</v>
      </c>
      <c r="F7">
        <v>2</v>
      </c>
      <c r="G7">
        <v>100</v>
      </c>
      <c r="H7">
        <v>50</v>
      </c>
      <c r="I7">
        <f>H7*G7</f>
        <v>5000</v>
      </c>
      <c r="L7" t="s">
        <v>16</v>
      </c>
      <c r="M7" s="1">
        <v>46181</v>
      </c>
    </row>
    <row r="8" spans="1:13" x14ac:dyDescent="0.25">
      <c r="A8" t="s">
        <v>22</v>
      </c>
      <c r="B8" s="1">
        <v>46181</v>
      </c>
      <c r="C8" t="s">
        <v>23</v>
      </c>
      <c r="D8" t="s">
        <v>23</v>
      </c>
      <c r="E8" t="s">
        <v>24</v>
      </c>
      <c r="F8">
        <v>1</v>
      </c>
      <c r="G8">
        <v>1</v>
      </c>
      <c r="H8">
        <v>24</v>
      </c>
      <c r="I8">
        <f>H8*G8</f>
        <v>24</v>
      </c>
      <c r="L8" t="s">
        <v>16</v>
      </c>
      <c r="M8" s="1">
        <v>46181</v>
      </c>
    </row>
    <row r="9" spans="1:13" x14ac:dyDescent="0.25">
      <c r="A9" t="s">
        <v>20</v>
      </c>
      <c r="B9" s="1">
        <v>46181</v>
      </c>
      <c r="C9" t="s">
        <v>23</v>
      </c>
      <c r="D9" t="s">
        <v>23</v>
      </c>
      <c r="E9" t="s">
        <v>25</v>
      </c>
      <c r="F9">
        <v>1</v>
      </c>
      <c r="G9">
        <v>1</v>
      </c>
      <c r="H9">
        <v>30</v>
      </c>
      <c r="I9">
        <f>H9*G9</f>
        <v>30</v>
      </c>
      <c r="L9" t="s">
        <v>16</v>
      </c>
      <c r="M9" s="1">
        <v>46181</v>
      </c>
    </row>
    <row r="10" spans="1:13" x14ac:dyDescent="0.25">
      <c r="A10" t="s">
        <v>13</v>
      </c>
      <c r="B10" s="1">
        <v>46183</v>
      </c>
      <c r="C10" t="s">
        <v>23</v>
      </c>
      <c r="D10" t="s">
        <v>23</v>
      </c>
      <c r="E10" t="s">
        <v>15</v>
      </c>
      <c r="F10">
        <v>3</v>
      </c>
      <c r="G10">
        <v>1</v>
      </c>
      <c r="H10">
        <v>27</v>
      </c>
      <c r="I10">
        <f>H10*G10</f>
        <v>27</v>
      </c>
      <c r="L10" t="s">
        <v>16</v>
      </c>
      <c r="M10" s="1">
        <v>46183</v>
      </c>
    </row>
    <row r="11" spans="1:13" x14ac:dyDescent="0.25">
      <c r="A11" t="s">
        <v>17</v>
      </c>
      <c r="B11" s="1">
        <v>46183</v>
      </c>
      <c r="C11" t="s">
        <v>23</v>
      </c>
      <c r="D11" t="s">
        <v>23</v>
      </c>
      <c r="E11" t="s">
        <v>15</v>
      </c>
      <c r="F11">
        <v>3</v>
      </c>
      <c r="G11">
        <v>1</v>
      </c>
      <c r="H11">
        <v>20</v>
      </c>
      <c r="I11">
        <f>H11*G11</f>
        <v>20</v>
      </c>
      <c r="L11" t="s">
        <v>16</v>
      </c>
      <c r="M11" s="1">
        <v>46183</v>
      </c>
    </row>
    <row r="12" spans="1:13" x14ac:dyDescent="0.25">
      <c r="A12" t="s">
        <v>18</v>
      </c>
      <c r="B12" s="1">
        <v>46191</v>
      </c>
      <c r="C12" t="s">
        <v>23</v>
      </c>
      <c r="D12" t="s">
        <v>23</v>
      </c>
      <c r="E12" t="s">
        <v>15</v>
      </c>
      <c r="F12">
        <v>3</v>
      </c>
      <c r="G12">
        <v>0.5</v>
      </c>
      <c r="H12">
        <v>9</v>
      </c>
      <c r="I12" s="2">
        <f>H12*G12</f>
        <v>4.5</v>
      </c>
      <c r="L12" t="s">
        <v>16</v>
      </c>
      <c r="M12" s="1">
        <v>46188</v>
      </c>
    </row>
    <row r="13" spans="1:13" x14ac:dyDescent="0.25">
      <c r="A13" t="s">
        <v>19</v>
      </c>
      <c r="B13" s="1">
        <v>46183</v>
      </c>
      <c r="C13" t="s">
        <v>23</v>
      </c>
      <c r="D13" t="s">
        <v>23</v>
      </c>
      <c r="E13" t="s">
        <v>15</v>
      </c>
      <c r="F13">
        <v>3</v>
      </c>
      <c r="G13">
        <v>1</v>
      </c>
      <c r="H13">
        <v>1</v>
      </c>
      <c r="I13">
        <f>H13*G13</f>
      </c>
      <c r="L13" t="s">
        <v>16</v>
      </c>
      <c r="M13" s="1">
        <v>46183</v>
      </c>
    </row>
    <row r="14" spans="1:13" x14ac:dyDescent="0.25">
      <c r="A14" t="s">
        <v>20</v>
      </c>
      <c r="B14" s="1">
        <v>46183</v>
      </c>
      <c r="C14" t="s">
        <v>23</v>
      </c>
      <c r="D14" t="s">
        <v>23</v>
      </c>
      <c r="E14" t="s">
        <v>15</v>
      </c>
      <c r="F14">
        <v>3</v>
      </c>
      <c r="G14">
        <v>1</v>
      </c>
      <c r="H14">
        <v>1</v>
      </c>
      <c r="I14">
        <f>H14*G14</f>
      </c>
      <c r="L14" t="s">
        <v>16</v>
      </c>
      <c r="M14" s="1">
        <v>46183</v>
      </c>
    </row>
    <row r="15" spans="1:13" x14ac:dyDescent="0.25">
      <c r="A15" t="s">
        <v>22</v>
      </c>
      <c r="B15" s="1">
        <v>46187</v>
      </c>
      <c r="C15" t="s">
        <v>23</v>
      </c>
      <c r="D15" t="s">
        <v>23</v>
      </c>
      <c r="E15" t="s">
        <v>24</v>
      </c>
      <c r="F15">
        <v>7</v>
      </c>
      <c r="G15">
        <v>1</v>
      </c>
      <c r="H15">
        <v>24</v>
      </c>
      <c r="I15">
        <f>H15*G15</f>
        <v>24</v>
      </c>
      <c r="L15" t="s">
        <v>16</v>
      </c>
      <c r="M15" s="1">
        <v>46185</v>
      </c>
    </row>
    <row r="16" spans="1:13" x14ac:dyDescent="0.25">
      <c r="A16" t="s">
        <v>21</v>
      </c>
      <c r="B16" s="1">
        <v>46183</v>
      </c>
      <c r="C16" t="s">
        <v>23</v>
      </c>
      <c r="D16" t="s">
        <v>23</v>
      </c>
      <c r="E16" t="s">
        <v>15</v>
      </c>
      <c r="F16">
        <v>3</v>
      </c>
      <c r="G16">
        <v>1</v>
      </c>
      <c r="H16">
        <v>50</v>
      </c>
      <c r="I16">
        <f>H16*G16</f>
        <v>50</v>
      </c>
      <c r="L16" t="s">
        <v>16</v>
      </c>
      <c r="M16" s="1">
        <v>46183</v>
      </c>
    </row>
    <row r="17" spans="1:13" x14ac:dyDescent="0.25">
      <c r="A17" t="s">
        <v>22</v>
      </c>
      <c r="B17" s="1">
        <v>46187</v>
      </c>
      <c r="C17" t="s">
        <v>26</v>
      </c>
      <c r="D17" t="s">
        <v>26</v>
      </c>
      <c r="E17" t="s">
        <v>24</v>
      </c>
      <c r="F17">
        <v>7</v>
      </c>
      <c r="G17">
        <v>1</v>
      </c>
      <c r="H17">
        <v>24</v>
      </c>
      <c r="I17">
        <f>H17*G17</f>
        <v>24</v>
      </c>
      <c r="L17" t="s">
        <v>16</v>
      </c>
      <c r="M17" s="1">
        <v>46185</v>
      </c>
    </row>
    <row r="18" spans="1:13" x14ac:dyDescent="0.25">
      <c r="A18" t="s">
        <v>20</v>
      </c>
      <c r="B18" s="1">
        <v>46182</v>
      </c>
      <c r="C18" t="s">
        <v>27</v>
      </c>
      <c r="D18" t="s">
        <v>27</v>
      </c>
      <c r="E18" t="s">
        <v>28</v>
      </c>
      <c r="F18">
        <v>2</v>
      </c>
      <c r="G18">
        <v>1</v>
      </c>
      <c r="H18">
        <v>1</v>
      </c>
      <c r="I18">
        <f>H18*G18</f>
      </c>
      <c r="J18" t="s">
        <v>29</v>
      </c>
      <c r="L18" t="s">
        <v>16</v>
      </c>
      <c r="M18" s="1">
        <v>46181</v>
      </c>
    </row>
    <row r="19" spans="1:13" x14ac:dyDescent="0.25">
      <c r="A19" t="s">
        <v>20</v>
      </c>
      <c r="B19" s="1">
        <v>46182</v>
      </c>
      <c r="C19" t="s">
        <v>27</v>
      </c>
      <c r="D19" t="s">
        <v>27</v>
      </c>
      <c r="E19" t="s">
        <v>28</v>
      </c>
      <c r="F19">
        <v>2</v>
      </c>
      <c r="G19">
        <v>1</v>
      </c>
      <c r="H19">
        <v>1</v>
      </c>
      <c r="I19">
        <f>H19*G19</f>
      </c>
      <c r="J19" t="s">
        <v>30</v>
      </c>
      <c r="L19" t="s">
        <v>16</v>
      </c>
      <c r="M19" s="1">
        <v>46181</v>
      </c>
    </row>
    <row r="20" spans="1:13" x14ac:dyDescent="0.25">
      <c r="A20" t="s">
        <v>20</v>
      </c>
      <c r="B20" s="1">
        <v>46182</v>
      </c>
      <c r="C20" t="s">
        <v>27</v>
      </c>
      <c r="D20" t="s">
        <v>27</v>
      </c>
      <c r="E20" t="s">
        <v>28</v>
      </c>
      <c r="F20">
        <v>2</v>
      </c>
      <c r="G20">
        <v>1</v>
      </c>
      <c r="H20">
        <v>1</v>
      </c>
      <c r="I20">
        <f>H20*G20</f>
      </c>
      <c r="J20" t="s">
        <v>31</v>
      </c>
      <c r="L20" t="s">
        <v>16</v>
      </c>
      <c r="M20" s="1">
        <v>46181</v>
      </c>
    </row>
    <row r="21" spans="1:13" x14ac:dyDescent="0.25">
      <c r="A21" t="s">
        <v>20</v>
      </c>
      <c r="B21" s="1">
        <v>46182</v>
      </c>
      <c r="C21" t="s">
        <v>27</v>
      </c>
      <c r="D21" t="s">
        <v>27</v>
      </c>
      <c r="E21" t="s">
        <v>28</v>
      </c>
      <c r="F21">
        <v>2</v>
      </c>
      <c r="G21">
        <v>1</v>
      </c>
      <c r="H21">
        <v>1</v>
      </c>
      <c r="I21">
        <f>H21*G21</f>
      </c>
      <c r="J21" t="s">
        <v>32</v>
      </c>
      <c r="L21" t="s">
        <v>16</v>
      </c>
      <c r="M21" s="1">
        <v>46181</v>
      </c>
    </row>
    <row r="22" spans="1:13" x14ac:dyDescent="0.25">
      <c r="A22" t="s">
        <v>20</v>
      </c>
      <c r="B22" s="1">
        <v>46182</v>
      </c>
      <c r="C22" t="s">
        <v>27</v>
      </c>
      <c r="D22" t="s">
        <v>27</v>
      </c>
      <c r="E22" t="s">
        <v>28</v>
      </c>
      <c r="F22">
        <v>2</v>
      </c>
      <c r="G22">
        <v>1</v>
      </c>
      <c r="H22">
        <v>1</v>
      </c>
      <c r="I22">
        <f>H22*G22</f>
      </c>
      <c r="J22" t="s">
        <v>33</v>
      </c>
      <c r="L22" t="s">
        <v>16</v>
      </c>
      <c r="M22" s="1">
        <v>46181</v>
      </c>
    </row>
    <row r="23" spans="1:13" x14ac:dyDescent="0.25">
      <c r="A23" t="s">
        <v>20</v>
      </c>
      <c r="B23" s="1">
        <v>46182</v>
      </c>
      <c r="C23" t="s">
        <v>27</v>
      </c>
      <c r="D23" t="s">
        <v>27</v>
      </c>
      <c r="E23" t="s">
        <v>28</v>
      </c>
      <c r="F23">
        <v>2</v>
      </c>
      <c r="G23">
        <v>1</v>
      </c>
      <c r="H23">
        <v>1</v>
      </c>
      <c r="I23">
        <f>H23*G23</f>
      </c>
      <c r="J23" t="s">
        <v>34</v>
      </c>
      <c r="L23" t="s">
        <v>16</v>
      </c>
      <c r="M23" s="1">
        <v>46181</v>
      </c>
    </row>
    <row r="24" spans="1:13" x14ac:dyDescent="0.25">
      <c r="A24" t="s">
        <v>20</v>
      </c>
      <c r="B24" s="1">
        <v>46182</v>
      </c>
      <c r="C24" t="s">
        <v>27</v>
      </c>
      <c r="D24" t="s">
        <v>27</v>
      </c>
      <c r="E24" t="s">
        <v>28</v>
      </c>
      <c r="F24">
        <v>2</v>
      </c>
      <c r="G24">
        <v>1</v>
      </c>
      <c r="H24">
        <v>1</v>
      </c>
      <c r="I24">
        <f>H24*G24</f>
      </c>
      <c r="J24" t="s">
        <v>29</v>
      </c>
      <c r="L24" t="s">
        <v>16</v>
      </c>
      <c r="M24" s="1">
        <v>46181</v>
      </c>
    </row>
    <row r="25" spans="1:13" x14ac:dyDescent="0.25">
      <c r="A25" t="s">
        <v>20</v>
      </c>
      <c r="B25" s="1">
        <v>46182</v>
      </c>
      <c r="C25" t="s">
        <v>27</v>
      </c>
      <c r="D25" t="s">
        <v>27</v>
      </c>
      <c r="E25" t="s">
        <v>28</v>
      </c>
      <c r="F25">
        <v>2</v>
      </c>
      <c r="G25">
        <v>1</v>
      </c>
      <c r="H25">
        <v>1</v>
      </c>
      <c r="I25">
        <f>H25*G25</f>
      </c>
      <c r="J25" t="s">
        <v>29</v>
      </c>
      <c r="L25" t="s">
        <v>16</v>
      </c>
      <c r="M25" s="1">
        <v>46181</v>
      </c>
    </row>
    <row r="26" spans="1:13" x14ac:dyDescent="0.25">
      <c r="A26" t="s">
        <v>13</v>
      </c>
      <c r="B26" s="1">
        <v>46184</v>
      </c>
      <c r="C26" t="s">
        <v>27</v>
      </c>
      <c r="D26" t="s">
        <v>27</v>
      </c>
      <c r="E26" t="s">
        <v>15</v>
      </c>
      <c r="F26">
        <v>4</v>
      </c>
      <c r="G26">
        <v>1</v>
      </c>
      <c r="H26">
        <v>28</v>
      </c>
      <c r="I26">
        <f>H26*G26</f>
        <v>28</v>
      </c>
      <c r="L26" t="s">
        <v>16</v>
      </c>
      <c r="M26" s="1">
        <v>46183</v>
      </c>
    </row>
    <row r="27" spans="1:13" x14ac:dyDescent="0.25">
      <c r="A27" t="s">
        <v>17</v>
      </c>
      <c r="B27" s="1">
        <v>46184</v>
      </c>
      <c r="C27" t="s">
        <v>27</v>
      </c>
      <c r="D27" t="s">
        <v>27</v>
      </c>
      <c r="E27" t="s">
        <v>15</v>
      </c>
      <c r="F27">
        <v>4</v>
      </c>
      <c r="G27">
        <v>1</v>
      </c>
      <c r="H27">
        <v>18</v>
      </c>
      <c r="I27">
        <f>H27*G27</f>
        <v>18</v>
      </c>
      <c r="L27" t="s">
        <v>16</v>
      </c>
      <c r="M27" s="1">
        <v>46183</v>
      </c>
    </row>
    <row r="28" spans="1:13" x14ac:dyDescent="0.25">
      <c r="A28" t="s">
        <v>18</v>
      </c>
      <c r="B28" s="1">
        <v>46192</v>
      </c>
      <c r="C28" t="s">
        <v>27</v>
      </c>
      <c r="D28" t="s">
        <v>27</v>
      </c>
      <c r="E28" t="s">
        <v>15</v>
      </c>
      <c r="F28">
        <v>4</v>
      </c>
      <c r="G28">
        <v>1</v>
      </c>
      <c r="H28">
        <v>6</v>
      </c>
      <c r="I28">
        <f>H28*G28</f>
        <v>6</v>
      </c>
      <c r="L28" t="s">
        <v>16</v>
      </c>
      <c r="M28" s="1">
        <v>46188</v>
      </c>
    </row>
    <row r="29" spans="1:13" x14ac:dyDescent="0.25">
      <c r="A29" t="s">
        <v>19</v>
      </c>
      <c r="B29" s="1">
        <v>46184</v>
      </c>
      <c r="C29" t="s">
        <v>27</v>
      </c>
      <c r="D29" t="s">
        <v>27</v>
      </c>
      <c r="E29" t="s">
        <v>15</v>
      </c>
      <c r="F29">
        <v>4</v>
      </c>
      <c r="G29">
        <v>1</v>
      </c>
      <c r="H29">
        <v>21</v>
      </c>
      <c r="I29">
        <f>H29*G29</f>
        <v>21</v>
      </c>
      <c r="L29" t="s">
        <v>16</v>
      </c>
      <c r="M29" s="1">
        <v>46183</v>
      </c>
    </row>
    <row r="30" spans="1:13" x14ac:dyDescent="0.25">
      <c r="A30" t="s">
        <v>20</v>
      </c>
      <c r="B30" s="1">
        <v>46184</v>
      </c>
      <c r="C30" t="s">
        <v>27</v>
      </c>
      <c r="D30" t="s">
        <v>27</v>
      </c>
      <c r="E30" t="s">
        <v>15</v>
      </c>
      <c r="F30">
        <v>4</v>
      </c>
      <c r="G30">
        <v>1</v>
      </c>
      <c r="H30">
        <v>1</v>
      </c>
      <c r="I30">
        <f>H30*G30</f>
      </c>
      <c r="L30" t="s">
        <v>16</v>
      </c>
      <c r="M30" s="1">
        <v>46183</v>
      </c>
    </row>
    <row r="31" spans="1:13" x14ac:dyDescent="0.25">
      <c r="A31" t="s">
        <v>20</v>
      </c>
      <c r="B31" s="1">
        <v>46185</v>
      </c>
      <c r="C31" t="s">
        <v>27</v>
      </c>
      <c r="D31" t="s">
        <v>27</v>
      </c>
      <c r="E31" t="s">
        <v>28</v>
      </c>
      <c r="F31">
        <v>5</v>
      </c>
      <c r="G31">
        <v>1</v>
      </c>
      <c r="H31">
        <v>1</v>
      </c>
      <c r="I31">
        <f>H31*G31</f>
      </c>
      <c r="J31" t="s">
        <v>35</v>
      </c>
      <c r="L31" t="s">
        <v>16</v>
      </c>
      <c r="M31" s="1">
        <v>46183</v>
      </c>
    </row>
    <row r="32" spans="1:13" x14ac:dyDescent="0.25">
      <c r="A32" t="s">
        <v>21</v>
      </c>
      <c r="B32" s="1">
        <v>46184</v>
      </c>
      <c r="C32" t="s">
        <v>27</v>
      </c>
      <c r="D32" t="s">
        <v>27</v>
      </c>
      <c r="E32" t="s">
        <v>15</v>
      </c>
      <c r="F32">
        <v>4</v>
      </c>
      <c r="G32">
        <v>1</v>
      </c>
      <c r="H32">
        <v>50</v>
      </c>
      <c r="I32">
        <f>H32*G32</f>
        <v>50</v>
      </c>
      <c r="L32" t="s">
        <v>16</v>
      </c>
      <c r="M32" s="1">
        <v>46183</v>
      </c>
    </row>
    <row r="33" spans="1:13" x14ac:dyDescent="0.25">
      <c r="A33" t="s">
        <v>22</v>
      </c>
      <c r="B33" s="1">
        <v>46182</v>
      </c>
      <c r="C33" t="s">
        <v>36</v>
      </c>
      <c r="D33" t="s">
        <v>36</v>
      </c>
      <c r="E33" t="s">
        <v>24</v>
      </c>
      <c r="F33">
        <v>2</v>
      </c>
      <c r="G33">
        <v>1</v>
      </c>
      <c r="H33">
        <v>24</v>
      </c>
      <c r="I33">
        <f>H33*G33</f>
        <v>24</v>
      </c>
      <c r="L33" t="s">
        <v>16</v>
      </c>
      <c r="M33" s="1">
        <v>46181</v>
      </c>
    </row>
    <row r="34" spans="1:13" x14ac:dyDescent="0.25">
      <c r="A34" t="s">
        <v>22</v>
      </c>
      <c r="B34" s="1">
        <v>46186</v>
      </c>
      <c r="C34" t="s">
        <v>36</v>
      </c>
      <c r="D34" t="s">
        <v>36</v>
      </c>
      <c r="E34" t="s">
        <v>24</v>
      </c>
      <c r="F34">
        <v>6</v>
      </c>
      <c r="G34">
        <v>1</v>
      </c>
      <c r="H34">
        <v>24</v>
      </c>
      <c r="I34">
        <f>H34*G34</f>
        <v>24</v>
      </c>
      <c r="L34" t="s">
        <v>16</v>
      </c>
      <c r="M34" s="1">
        <v>46185</v>
      </c>
    </row>
    <row r="35" spans="1:13" x14ac:dyDescent="0.25">
      <c r="A35" t="s">
        <v>13</v>
      </c>
      <c r="B35" s="1">
        <v>46182</v>
      </c>
      <c r="C35" t="s">
        <v>37</v>
      </c>
      <c r="D35" t="s">
        <v>37</v>
      </c>
      <c r="E35" t="s">
        <v>15</v>
      </c>
      <c r="F35">
        <v>2</v>
      </c>
      <c r="G35">
        <v>1</v>
      </c>
      <c r="H35">
        <v>28</v>
      </c>
      <c r="I35">
        <f>H35*G35</f>
        <v>28</v>
      </c>
      <c r="L35" t="s">
        <v>16</v>
      </c>
      <c r="M35" s="1">
        <v>46181</v>
      </c>
    </row>
    <row r="36" spans="1:13" x14ac:dyDescent="0.25">
      <c r="A36" t="s">
        <v>17</v>
      </c>
      <c r="B36" s="1">
        <v>46182</v>
      </c>
      <c r="C36" t="s">
        <v>37</v>
      </c>
      <c r="D36" t="s">
        <v>37</v>
      </c>
      <c r="E36" t="s">
        <v>15</v>
      </c>
      <c r="F36">
        <v>2</v>
      </c>
      <c r="G36">
        <v>1</v>
      </c>
      <c r="H36">
        <v>15</v>
      </c>
      <c r="I36">
        <f>H36*G36</f>
        <v>15</v>
      </c>
      <c r="L36" t="s">
        <v>16</v>
      </c>
      <c r="M36" s="1">
        <v>46181</v>
      </c>
    </row>
    <row r="37" spans="1:13" x14ac:dyDescent="0.25">
      <c r="A37" t="s">
        <v>19</v>
      </c>
      <c r="B37" s="1">
        <v>46182</v>
      </c>
      <c r="C37" t="s">
        <v>37</v>
      </c>
      <c r="D37" t="s">
        <v>37</v>
      </c>
      <c r="E37" t="s">
        <v>15</v>
      </c>
      <c r="F37">
        <v>2</v>
      </c>
      <c r="G37">
        <v>1</v>
      </c>
      <c r="H37">
        <v>25</v>
      </c>
      <c r="I37">
        <f>H37*G37</f>
        <v>25</v>
      </c>
      <c r="L37" t="s">
        <v>16</v>
      </c>
      <c r="M37" s="1">
        <v>46181</v>
      </c>
    </row>
    <row r="38" spans="1:13" x14ac:dyDescent="0.25">
      <c r="A38" t="s">
        <v>20</v>
      </c>
      <c r="B38" s="1">
        <v>46182</v>
      </c>
      <c r="C38" t="s">
        <v>37</v>
      </c>
      <c r="D38" t="s">
        <v>37</v>
      </c>
      <c r="E38" t="s">
        <v>15</v>
      </c>
      <c r="F38">
        <v>2</v>
      </c>
      <c r="G38">
        <v>1</v>
      </c>
      <c r="H38">
        <v>50</v>
      </c>
      <c r="I38">
        <f>H38*G38</f>
        <v>50</v>
      </c>
      <c r="L38" t="s">
        <v>16</v>
      </c>
      <c r="M38" s="1">
        <v>46181</v>
      </c>
    </row>
    <row r="39" spans="1:13" x14ac:dyDescent="0.25">
      <c r="A39" t="s">
        <v>21</v>
      </c>
      <c r="B39" s="1">
        <v>46182</v>
      </c>
      <c r="C39" t="s">
        <v>37</v>
      </c>
      <c r="D39" t="s">
        <v>37</v>
      </c>
      <c r="E39" t="s">
        <v>15</v>
      </c>
      <c r="F39">
        <v>2</v>
      </c>
      <c r="G39">
        <v>1</v>
      </c>
      <c r="H39">
        <v>50</v>
      </c>
      <c r="I39">
        <f>H39*G39</f>
        <v>50</v>
      </c>
      <c r="L39" t="s">
        <v>16</v>
      </c>
      <c r="M39" s="1">
        <v>46181</v>
      </c>
    </row>
    <row r="40" spans="1:13" x14ac:dyDescent="0.25">
      <c r="A40" t="s">
        <v>22</v>
      </c>
      <c r="B40" s="1">
        <v>46183</v>
      </c>
      <c r="C40" t="s">
        <v>37</v>
      </c>
      <c r="D40" t="s">
        <v>37</v>
      </c>
      <c r="E40" t="s">
        <v>24</v>
      </c>
      <c r="F40">
        <v>3</v>
      </c>
      <c r="G40">
        <v>1</v>
      </c>
      <c r="H40">
        <v>24</v>
      </c>
      <c r="I40">
        <f>H40*G40</f>
        <v>24</v>
      </c>
      <c r="L40" t="s">
        <v>16</v>
      </c>
      <c r="M40" s="1">
        <v>46183</v>
      </c>
    </row>
    <row r="41" spans="1:13" x14ac:dyDescent="0.25">
      <c r="A41" t="s">
        <v>18</v>
      </c>
      <c r="B41" s="1">
        <v>46190</v>
      </c>
      <c r="C41" t="s">
        <v>38</v>
      </c>
      <c r="D41" t="s">
        <v>37</v>
      </c>
      <c r="E41" t="s">
        <v>15</v>
      </c>
      <c r="F41">
        <v>2</v>
      </c>
      <c r="G41">
        <v>0.5</v>
      </c>
      <c r="H41">
        <v>8</v>
      </c>
      <c r="I41">
        <f>H41*G41</f>
        <v>4</v>
      </c>
      <c r="L41" t="s">
        <v>16</v>
      </c>
      <c r="M41" s="1">
        <v>46188</v>
      </c>
    </row>
    <row r="42" spans="1:13" x14ac:dyDescent="0.25">
      <c r="A42" t="s">
        <v>20</v>
      </c>
      <c r="B42" s="1">
        <v>46185</v>
      </c>
      <c r="C42" t="s">
        <v>39</v>
      </c>
      <c r="D42" t="s">
        <v>39</v>
      </c>
      <c r="E42" t="s">
        <v>25</v>
      </c>
      <c r="F42">
        <v>5</v>
      </c>
      <c r="G42">
        <v>1</v>
      </c>
      <c r="H42">
        <v>1</v>
      </c>
      <c r="I42">
        <f>H42*G42</f>
      </c>
      <c r="L42" t="s">
        <v>16</v>
      </c>
      <c r="M42" s="1">
        <v>46183</v>
      </c>
    </row>
    <row r="43" spans="1:13" x14ac:dyDescent="0.25">
      <c r="A43" t="s">
        <v>20</v>
      </c>
      <c r="B43" s="1">
        <v>46186</v>
      </c>
      <c r="C43" t="s">
        <v>39</v>
      </c>
      <c r="D43" t="s">
        <v>39</v>
      </c>
      <c r="E43" t="s">
        <v>25</v>
      </c>
      <c r="F43">
        <v>6</v>
      </c>
      <c r="G43">
        <v>1</v>
      </c>
      <c r="H43">
        <v>1</v>
      </c>
      <c r="I43">
        <f>H43*G43</f>
      </c>
      <c r="L43" t="s">
        <v>16</v>
      </c>
      <c r="M43" s="1">
        <v>46183</v>
      </c>
    </row>
    <row r="44" spans="1:13" x14ac:dyDescent="0.25">
      <c r="A44" t="s">
        <v>22</v>
      </c>
      <c r="B44" s="1">
        <v>46187</v>
      </c>
      <c r="C44" t="s">
        <v>39</v>
      </c>
      <c r="D44" t="s">
        <v>39</v>
      </c>
      <c r="E44" t="s">
        <v>25</v>
      </c>
      <c r="F44">
        <v>7</v>
      </c>
      <c r="G44">
        <v>1</v>
      </c>
      <c r="H44">
        <v>24</v>
      </c>
      <c r="I44">
        <f>H44*G44</f>
        <v>24</v>
      </c>
      <c r="L44" t="s">
        <v>16</v>
      </c>
      <c r="M44" s="1">
        <v>46185</v>
      </c>
    </row>
    <row r="45" spans="1:13" x14ac:dyDescent="0.25">
      <c r="A45" t="s">
        <v>22</v>
      </c>
      <c r="B45" s="1">
        <v>46185</v>
      </c>
      <c r="C45" t="s">
        <v>40</v>
      </c>
      <c r="D45" t="s">
        <v>40</v>
      </c>
      <c r="E45" t="s">
        <v>25</v>
      </c>
      <c r="F45">
        <v>5</v>
      </c>
      <c r="G45">
        <v>3</v>
      </c>
      <c r="H45">
        <v>24</v>
      </c>
      <c r="I45">
        <f>H45*G45</f>
        <v>72</v>
      </c>
      <c r="L45" t="s">
        <v>16</v>
      </c>
      <c r="M45" s="1">
        <v>46185</v>
      </c>
    </row>
    <row r="46" spans="1:13" x14ac:dyDescent="0.25">
      <c r="A46" t="s">
        <v>13</v>
      </c>
      <c r="B46" s="1">
        <v>46181</v>
      </c>
      <c r="C46" t="s">
        <v>41</v>
      </c>
      <c r="D46" t="s">
        <v>41</v>
      </c>
      <c r="E46" t="s">
        <v>15</v>
      </c>
      <c r="F46">
        <v>1</v>
      </c>
      <c r="G46">
        <v>100</v>
      </c>
      <c r="H46">
        <v>25</v>
      </c>
      <c r="I46">
        <f>H46*G46</f>
        <v>2500</v>
      </c>
      <c r="L46" t="s">
        <v>16</v>
      </c>
      <c r="M46" s="1">
        <v>46181</v>
      </c>
    </row>
    <row r="47" spans="1:13" x14ac:dyDescent="0.25">
      <c r="A47" t="s">
        <v>17</v>
      </c>
      <c r="B47" s="1">
        <v>46181</v>
      </c>
      <c r="C47" t="s">
        <v>41</v>
      </c>
      <c r="D47" t="s">
        <v>41</v>
      </c>
      <c r="E47" t="s">
        <v>15</v>
      </c>
      <c r="F47">
        <v>1</v>
      </c>
      <c r="G47">
        <v>100</v>
      </c>
      <c r="H47">
        <v>19</v>
      </c>
      <c r="I47">
        <f>H47*G47</f>
        <v>1900</v>
      </c>
      <c r="L47" t="s">
        <v>16</v>
      </c>
      <c r="M47" s="1">
        <v>46181</v>
      </c>
    </row>
    <row r="48" spans="1:13" x14ac:dyDescent="0.25">
      <c r="A48" t="s">
        <v>42</v>
      </c>
      <c r="B48" s="1">
        <v>46181</v>
      </c>
      <c r="C48" t="s">
        <v>41</v>
      </c>
      <c r="D48" t="s">
        <v>41</v>
      </c>
      <c r="E48" t="s">
        <v>15</v>
      </c>
      <c r="F48">
        <v>1</v>
      </c>
      <c r="G48">
        <f>100*1.3</f>
        <v>130</v>
      </c>
      <c r="H48">
        <v>23</v>
      </c>
      <c r="I48">
        <f>H48*G48</f>
        <v>2990</v>
      </c>
      <c r="M48" s="1">
        <v>46181</v>
      </c>
    </row>
    <row r="49" spans="1:13" x14ac:dyDescent="0.25">
      <c r="A49" t="s">
        <v>43</v>
      </c>
      <c r="B49" s="1">
        <v>46181</v>
      </c>
      <c r="C49" t="s">
        <v>41</v>
      </c>
      <c r="D49" t="s">
        <v>41</v>
      </c>
      <c r="E49" t="s">
        <v>15</v>
      </c>
      <c r="F49">
        <v>1</v>
      </c>
      <c r="G49">
        <f>100*1.3</f>
        <v>130</v>
      </c>
      <c r="H49">
        <v>24</v>
      </c>
      <c r="I49">
        <f>H49*G49</f>
        <v>3120</v>
      </c>
      <c r="M49" s="1">
        <v>46181</v>
      </c>
    </row>
    <row r="50" spans="1:13" x14ac:dyDescent="0.25">
      <c r="A50" t="s">
        <v>18</v>
      </c>
      <c r="B50" s="1">
        <v>46189</v>
      </c>
      <c r="C50" t="s">
        <v>41</v>
      </c>
      <c r="D50" t="s">
        <v>41</v>
      </c>
      <c r="E50" t="s">
        <v>15</v>
      </c>
      <c r="F50">
        <v>1</v>
      </c>
      <c r="G50">
        <v>75</v>
      </c>
      <c r="H50">
        <v>8</v>
      </c>
      <c r="I50">
        <f>H50*G50</f>
        <v>600</v>
      </c>
      <c r="K50" t="s">
        <v>16</v>
      </c>
      <c r="M50" s="1">
        <v>46188</v>
      </c>
    </row>
    <row r="51" spans="1:13" x14ac:dyDescent="0.25">
      <c r="A51" t="s">
        <v>44</v>
      </c>
      <c r="B51" s="1">
        <v>46181</v>
      </c>
      <c r="C51" t="s">
        <v>41</v>
      </c>
      <c r="D51" t="s">
        <v>41</v>
      </c>
      <c r="E51" t="s">
        <v>15</v>
      </c>
      <c r="F51">
        <v>1</v>
      </c>
      <c r="G51">
        <f>100*1.3</f>
        <v>130</v>
      </c>
      <c r="H51">
        <v>14</v>
      </c>
      <c r="I51">
        <f>H51*G51</f>
        <v>1820</v>
      </c>
      <c r="M51" s="1">
        <v>46181</v>
      </c>
    </row>
    <row r="52" spans="1:13" x14ac:dyDescent="0.25">
      <c r="A52" t="s">
        <v>19</v>
      </c>
      <c r="B52" s="1">
        <v>46181</v>
      </c>
      <c r="C52" t="s">
        <v>41</v>
      </c>
      <c r="D52" t="s">
        <v>41</v>
      </c>
      <c r="E52" t="s">
        <v>15</v>
      </c>
      <c r="F52">
        <v>1</v>
      </c>
      <c r="G52">
        <v>100</v>
      </c>
      <c r="H52">
        <v>22</v>
      </c>
      <c r="I52">
        <f>H52*G52</f>
        <v>2200</v>
      </c>
      <c r="L52" t="s">
        <v>16</v>
      </c>
      <c r="M52" s="1">
        <v>46181</v>
      </c>
    </row>
    <row r="53" spans="1:13" x14ac:dyDescent="0.25">
      <c r="A53" t="s">
        <v>45</v>
      </c>
      <c r="B53" s="1">
        <v>46181</v>
      </c>
      <c r="C53" t="s">
        <v>41</v>
      </c>
      <c r="D53" t="s">
        <v>41</v>
      </c>
      <c r="E53" t="s">
        <v>15</v>
      </c>
      <c r="F53">
        <v>1</v>
      </c>
      <c r="G53">
        <f>100*1.3</f>
        <v>130</v>
      </c>
      <c r="H53">
        <v>16</v>
      </c>
      <c r="I53">
        <f>H53*G53</f>
        <v>2080</v>
      </c>
      <c r="M53" s="1">
        <v>46181</v>
      </c>
    </row>
    <row r="54" spans="1:13" x14ac:dyDescent="0.25">
      <c r="A54" t="s">
        <v>20</v>
      </c>
      <c r="B54" s="1">
        <v>46181</v>
      </c>
      <c r="C54" t="s">
        <v>41</v>
      </c>
      <c r="D54" t="s">
        <v>41</v>
      </c>
      <c r="E54" t="s">
        <v>15</v>
      </c>
      <c r="F54">
        <v>1</v>
      </c>
      <c r="G54">
        <v>100</v>
      </c>
      <c r="H54">
        <v>49</v>
      </c>
      <c r="I54">
        <f>H54*G54</f>
        <v>4900</v>
      </c>
      <c r="L54" t="s">
        <v>16</v>
      </c>
      <c r="M54" s="1">
        <v>46181</v>
      </c>
    </row>
    <row r="55" spans="1:13" x14ac:dyDescent="0.25">
      <c r="A55" t="s">
        <v>21</v>
      </c>
      <c r="B55" s="1">
        <v>46181</v>
      </c>
      <c r="C55" t="s">
        <v>41</v>
      </c>
      <c r="D55" t="s">
        <v>41</v>
      </c>
      <c r="E55" t="s">
        <v>15</v>
      </c>
      <c r="F55">
        <v>1</v>
      </c>
      <c r="G55">
        <v>100</v>
      </c>
      <c r="H55">
        <v>25</v>
      </c>
      <c r="I55">
        <f>H55*G55</f>
        <v>2500</v>
      </c>
      <c r="L55" t="s">
        <v>16</v>
      </c>
      <c r="M55" s="1">
        <v>46181</v>
      </c>
    </row>
    <row r="56" spans="1:13" x14ac:dyDescent="0.25">
      <c r="A56" t="s">
        <v>20</v>
      </c>
      <c r="B56" s="1">
        <v>46183</v>
      </c>
      <c r="C56" t="s">
        <v>46</v>
      </c>
      <c r="D56" t="s">
        <v>46</v>
      </c>
      <c r="E56" t="s">
        <v>25</v>
      </c>
      <c r="F56">
        <v>3</v>
      </c>
      <c r="G56">
        <v>1</v>
      </c>
      <c r="H56">
        <v>1</v>
      </c>
      <c r="I56">
        <f>H56*G56</f>
      </c>
      <c r="L56" t="s">
        <v>16</v>
      </c>
      <c r="M56" s="1">
        <v>46183</v>
      </c>
    </row>
    <row r="57" spans="1:13" x14ac:dyDescent="0.25">
      <c r="A57" t="s">
        <v>20</v>
      </c>
      <c r="B57" s="1">
        <v>46184</v>
      </c>
      <c r="C57" t="s">
        <v>47</v>
      </c>
      <c r="D57" t="s">
        <v>47</v>
      </c>
      <c r="E57" t="s">
        <v>48</v>
      </c>
      <c r="F57">
        <v>4</v>
      </c>
      <c r="G57">
        <v>250</v>
      </c>
      <c r="H57">
        <v>1</v>
      </c>
      <c r="I57">
        <f>H57*G57</f>
      </c>
      <c r="L57" t="s">
        <v>16</v>
      </c>
      <c r="M57" s="1">
        <v>46183</v>
      </c>
    </row>
    <row r="58" spans="1:13" x14ac:dyDescent="0.25">
      <c r="A58" t="s">
        <v>13</v>
      </c>
      <c r="B58" s="1">
        <v>46185</v>
      </c>
      <c r="C58" t="s">
        <v>49</v>
      </c>
      <c r="D58" t="s">
        <v>49</v>
      </c>
      <c r="E58" t="s">
        <v>15</v>
      </c>
      <c r="F58">
        <v>5</v>
      </c>
      <c r="G58">
        <v>100</v>
      </c>
      <c r="H58">
        <v>22</v>
      </c>
      <c r="I58">
        <f>H58*G58</f>
        <v>2200</v>
      </c>
      <c r="L58" t="s">
        <v>16</v>
      </c>
      <c r="M58" s="1">
        <v>46183</v>
      </c>
    </row>
    <row r="59" spans="1:13" x14ac:dyDescent="0.25">
      <c r="A59" t="s">
        <v>17</v>
      </c>
      <c r="B59" s="1">
        <v>46185</v>
      </c>
      <c r="C59" t="s">
        <v>49</v>
      </c>
      <c r="D59" t="s">
        <v>49</v>
      </c>
      <c r="E59" t="s">
        <v>15</v>
      </c>
      <c r="F59">
        <v>5</v>
      </c>
      <c r="G59">
        <v>100</v>
      </c>
      <c r="H59">
        <v>21</v>
      </c>
      <c r="I59">
        <f>H59*G59</f>
        <v>2100</v>
      </c>
      <c r="L59" t="s">
        <v>16</v>
      </c>
      <c r="M59" s="1">
        <v>46183</v>
      </c>
    </row>
    <row r="60" spans="1:13" x14ac:dyDescent="0.25">
      <c r="A60" t="s">
        <v>18</v>
      </c>
      <c r="B60" s="1">
        <v>46195</v>
      </c>
      <c r="C60" t="s">
        <v>49</v>
      </c>
      <c r="D60" t="s">
        <v>49</v>
      </c>
      <c r="E60" t="s">
        <v>15</v>
      </c>
      <c r="F60">
        <v>5</v>
      </c>
      <c r="G60">
        <v>75</v>
      </c>
      <c r="H60">
        <v>6</v>
      </c>
      <c r="I60">
        <f>H60*G60</f>
        <v>450</v>
      </c>
      <c r="K60" t="s">
        <v>16</v>
      </c>
      <c r="M60" s="1">
        <v>46188</v>
      </c>
    </row>
    <row r="61" spans="1:13" x14ac:dyDescent="0.25">
      <c r="A61" t="s">
        <v>50</v>
      </c>
      <c r="B61" s="1">
        <v>46186</v>
      </c>
      <c r="C61" t="s">
        <v>49</v>
      </c>
      <c r="D61" t="s">
        <v>49</v>
      </c>
      <c r="E61" t="s">
        <v>15</v>
      </c>
      <c r="F61">
        <v>6</v>
      </c>
      <c r="G61">
        <v>100</v>
      </c>
      <c r="H61">
        <v>12</v>
      </c>
      <c r="I61">
        <f>H61*G61</f>
        <v>1200</v>
      </c>
      <c r="L61" t="s">
        <v>16</v>
      </c>
      <c r="M61" s="1">
        <v>46183</v>
      </c>
    </row>
    <row r="62" spans="1:13" x14ac:dyDescent="0.25">
      <c r="A62" t="s">
        <v>19</v>
      </c>
      <c r="B62" s="1">
        <v>46185</v>
      </c>
      <c r="C62" t="s">
        <v>49</v>
      </c>
      <c r="D62" t="s">
        <v>49</v>
      </c>
      <c r="E62" t="s">
        <v>15</v>
      </c>
      <c r="F62">
        <v>5</v>
      </c>
      <c r="G62">
        <v>100</v>
      </c>
      <c r="H62">
        <v>21</v>
      </c>
      <c r="I62">
        <f>H62*G62</f>
        <v>2100</v>
      </c>
      <c r="L62" t="s">
        <v>16</v>
      </c>
      <c r="M62" s="1">
        <v>46183</v>
      </c>
    </row>
    <row r="63" spans="1:13" x14ac:dyDescent="0.25">
      <c r="A63" t="s">
        <v>20</v>
      </c>
      <c r="B63" s="1">
        <v>46185</v>
      </c>
      <c r="C63" t="s">
        <v>49</v>
      </c>
      <c r="D63" t="s">
        <v>49</v>
      </c>
      <c r="E63" t="s">
        <v>15</v>
      </c>
      <c r="F63">
        <v>5</v>
      </c>
      <c r="G63">
        <v>100</v>
      </c>
      <c r="H63">
        <v>1</v>
      </c>
      <c r="I63">
        <f>H63*G63</f>
      </c>
      <c r="L63" t="s">
        <v>16</v>
      </c>
      <c r="M63" s="1">
        <v>46183</v>
      </c>
    </row>
    <row r="64" spans="1:13" x14ac:dyDescent="0.25">
      <c r="A64" t="s">
        <v>20</v>
      </c>
      <c r="B64" s="1">
        <v>46186</v>
      </c>
      <c r="C64" t="s">
        <v>49</v>
      </c>
      <c r="D64" t="s">
        <v>49</v>
      </c>
      <c r="E64" t="s">
        <v>15</v>
      </c>
      <c r="F64">
        <v>6</v>
      </c>
      <c r="G64">
        <v>100</v>
      </c>
      <c r="H64">
        <v>1</v>
      </c>
      <c r="I64">
        <f>H64*G64</f>
      </c>
      <c r="L64" t="s">
        <v>16</v>
      </c>
      <c r="M64" s="1">
        <v>46183</v>
      </c>
    </row>
    <row r="65" spans="1:13" x14ac:dyDescent="0.25">
      <c r="A65" t="s">
        <v>21</v>
      </c>
      <c r="B65" s="1">
        <v>46185</v>
      </c>
      <c r="C65" t="s">
        <v>49</v>
      </c>
      <c r="D65" t="s">
        <v>49</v>
      </c>
      <c r="E65" t="s">
        <v>15</v>
      </c>
      <c r="F65">
        <v>5</v>
      </c>
      <c r="G65">
        <v>100</v>
      </c>
      <c r="H65">
        <v>45</v>
      </c>
      <c r="I65">
        <f>H65*G65</f>
        <v>4500</v>
      </c>
      <c r="L65" t="s">
        <v>16</v>
      </c>
      <c r="M65" s="1">
        <v>46183</v>
      </c>
    </row>
    <row r="66" spans="1:13" x14ac:dyDescent="0.25">
      <c r="A66" t="s">
        <v>20</v>
      </c>
      <c r="B66" s="1">
        <v>46181</v>
      </c>
      <c r="C66" t="s">
        <v>51</v>
      </c>
      <c r="D66" t="s">
        <v>51</v>
      </c>
      <c r="E66" t="s">
        <v>25</v>
      </c>
      <c r="F66">
        <v>1</v>
      </c>
      <c r="G66">
        <v>1</v>
      </c>
      <c r="H66">
        <v>30</v>
      </c>
      <c r="I66">
        <f>H66*G66</f>
        <v>30</v>
      </c>
      <c r="L66" t="s">
        <v>16</v>
      </c>
      <c r="M66" s="1">
        <v>46181</v>
      </c>
    </row>
    <row r="67" spans="1:13" x14ac:dyDescent="0.25">
      <c r="A67" t="s">
        <v>20</v>
      </c>
      <c r="B67" s="1">
        <v>46184</v>
      </c>
      <c r="C67" t="s">
        <v>52</v>
      </c>
      <c r="D67" t="s">
        <v>52</v>
      </c>
      <c r="E67" t="s">
        <v>25</v>
      </c>
      <c r="F67">
        <v>4</v>
      </c>
      <c r="G67">
        <v>2</v>
      </c>
      <c r="H67">
        <v>1</v>
      </c>
      <c r="I67">
        <f>H67*G67</f>
      </c>
      <c r="L67" t="s">
        <v>16</v>
      </c>
      <c r="M67" s="1">
        <v>46183</v>
      </c>
    </row>
    <row r="68" spans="1:13" x14ac:dyDescent="0.25">
      <c r="A68" t="s">
        <v>22</v>
      </c>
      <c r="B68" s="1">
        <v>46185</v>
      </c>
      <c r="C68" t="s">
        <v>52</v>
      </c>
      <c r="D68" t="s">
        <v>52</v>
      </c>
      <c r="E68" t="s">
        <v>24</v>
      </c>
      <c r="F68">
        <v>5</v>
      </c>
      <c r="G68">
        <v>2</v>
      </c>
      <c r="H68">
        <v>24</v>
      </c>
      <c r="I68">
        <f>H68*G68</f>
        <v>48</v>
      </c>
      <c r="L68" t="s">
        <v>16</v>
      </c>
      <c r="M68" s="1">
        <v>46185</v>
      </c>
    </row>
    <row r="69" spans="1:13" x14ac:dyDescent="0.25">
      <c r="A69" t="s">
        <v>22</v>
      </c>
      <c r="B69" s="1">
        <v>46182</v>
      </c>
      <c r="C69" t="s">
        <v>53</v>
      </c>
      <c r="D69" t="s">
        <v>53</v>
      </c>
      <c r="E69" t="s">
        <v>25</v>
      </c>
      <c r="F69">
        <v>2</v>
      </c>
      <c r="G69">
        <v>2</v>
      </c>
      <c r="H69">
        <v>24</v>
      </c>
      <c r="I69">
        <f>H69*G69</f>
        <v>48</v>
      </c>
      <c r="L69" t="s">
        <v>16</v>
      </c>
      <c r="M69" s="1">
        <v>46181</v>
      </c>
    </row>
    <row r="70" spans="1:13" x14ac:dyDescent="0.25">
      <c r="A70" t="s">
        <v>20</v>
      </c>
      <c r="B70" s="1">
        <v>46181</v>
      </c>
      <c r="C70" t="s">
        <v>54</v>
      </c>
      <c r="D70" t="s">
        <v>54</v>
      </c>
      <c r="E70" t="s">
        <v>48</v>
      </c>
      <c r="F70">
        <v>1</v>
      </c>
      <c r="G70">
        <v>250</v>
      </c>
      <c r="H70">
        <v>48</v>
      </c>
      <c r="I70">
        <f>H70*G70</f>
        <v>12000</v>
      </c>
      <c r="L70" t="s">
        <v>16</v>
      </c>
      <c r="M70" s="1">
        <v>46181</v>
      </c>
    </row>
    <row r="71" spans="1:13" x14ac:dyDescent="0.25">
      <c r="A71" t="s">
        <v>20</v>
      </c>
      <c r="B71" s="1">
        <v>46185</v>
      </c>
      <c r="C71" t="s">
        <v>54</v>
      </c>
      <c r="D71" t="s">
        <v>54</v>
      </c>
      <c r="E71" t="s">
        <v>55</v>
      </c>
      <c r="F71">
        <v>5</v>
      </c>
      <c r="G71">
        <v>250</v>
      </c>
      <c r="H71">
        <v>1</v>
      </c>
      <c r="I71">
        <f>H71*G71</f>
      </c>
      <c r="J71" t="s">
        <v>56</v>
      </c>
      <c r="L71" t="s">
        <v>16</v>
      </c>
      <c r="M71" s="1">
        <v>46183</v>
      </c>
    </row>
    <row r="72" spans="1:13" x14ac:dyDescent="0.25">
      <c r="A72" t="s">
        <v>13</v>
      </c>
      <c r="B72" s="1">
        <v>46183</v>
      </c>
      <c r="C72" t="s">
        <v>57</v>
      </c>
      <c r="D72" t="s">
        <v>57</v>
      </c>
      <c r="E72" t="s">
        <v>15</v>
      </c>
      <c r="F72">
        <v>3</v>
      </c>
      <c r="G72">
        <v>1</v>
      </c>
      <c r="H72">
        <v>27</v>
      </c>
      <c r="I72">
        <f>H72*G72</f>
        <v>27</v>
      </c>
      <c r="L72" t="s">
        <v>16</v>
      </c>
      <c r="M72" s="1">
        <v>46183</v>
      </c>
    </row>
    <row r="73" spans="1:13" x14ac:dyDescent="0.25">
      <c r="A73" t="s">
        <v>17</v>
      </c>
      <c r="B73" s="1">
        <v>46183</v>
      </c>
      <c r="C73" t="s">
        <v>57</v>
      </c>
      <c r="D73" t="s">
        <v>57</v>
      </c>
      <c r="E73" t="s">
        <v>15</v>
      </c>
      <c r="F73">
        <v>3</v>
      </c>
      <c r="G73">
        <v>1</v>
      </c>
      <c r="H73">
        <v>20</v>
      </c>
      <c r="I73">
        <f>H73*G73</f>
        <v>20</v>
      </c>
      <c r="L73" t="s">
        <v>16</v>
      </c>
      <c r="M73" s="1">
        <v>46183</v>
      </c>
    </row>
    <row r="74" spans="1:13" x14ac:dyDescent="0.25">
      <c r="A74" t="s">
        <v>18</v>
      </c>
      <c r="B74" s="1">
        <v>46191</v>
      </c>
      <c r="C74" t="s">
        <v>57</v>
      </c>
      <c r="D74" t="s">
        <v>57</v>
      </c>
      <c r="E74" t="s">
        <v>15</v>
      </c>
      <c r="F74">
        <v>3</v>
      </c>
      <c r="G74">
        <v>1</v>
      </c>
      <c r="H74">
        <v>9</v>
      </c>
      <c r="I74">
        <f>H74*G74</f>
        <v>9</v>
      </c>
      <c r="K74" t="s">
        <v>16</v>
      </c>
      <c r="M74" s="1">
        <v>46188</v>
      </c>
    </row>
    <row r="75" spans="1:13" x14ac:dyDescent="0.25">
      <c r="A75" t="s">
        <v>19</v>
      </c>
      <c r="B75" s="1">
        <v>46183</v>
      </c>
      <c r="C75" t="s">
        <v>57</v>
      </c>
      <c r="D75" t="s">
        <v>57</v>
      </c>
      <c r="E75" t="s">
        <v>15</v>
      </c>
      <c r="F75">
        <v>3</v>
      </c>
      <c r="G75">
        <v>1</v>
      </c>
      <c r="H75">
        <v>1</v>
      </c>
      <c r="I75">
        <f>H75*G75</f>
      </c>
      <c r="L75" t="s">
        <v>16</v>
      </c>
      <c r="M75" s="1">
        <v>46183</v>
      </c>
    </row>
    <row r="76" spans="1:13" x14ac:dyDescent="0.25">
      <c r="A76" t="s">
        <v>20</v>
      </c>
      <c r="B76" s="1">
        <v>46183</v>
      </c>
      <c r="C76" t="s">
        <v>57</v>
      </c>
      <c r="D76" t="s">
        <v>57</v>
      </c>
      <c r="E76" t="s">
        <v>15</v>
      </c>
      <c r="F76">
        <v>3</v>
      </c>
      <c r="G76">
        <v>1</v>
      </c>
      <c r="H76">
        <v>1</v>
      </c>
      <c r="I76">
        <f>H76*G76</f>
      </c>
      <c r="L76" t="s">
        <v>16</v>
      </c>
      <c r="M76" s="1">
        <v>46183</v>
      </c>
    </row>
    <row r="77" spans="1:13" x14ac:dyDescent="0.25">
      <c r="A77" t="s">
        <v>21</v>
      </c>
      <c r="B77" s="1">
        <v>46183</v>
      </c>
      <c r="C77" t="s">
        <v>57</v>
      </c>
      <c r="D77" t="s">
        <v>57</v>
      </c>
      <c r="E77" t="s">
        <v>15</v>
      </c>
      <c r="F77">
        <v>3</v>
      </c>
      <c r="G77">
        <v>1</v>
      </c>
      <c r="H77">
        <v>48</v>
      </c>
      <c r="I77">
        <f>H77*G77</f>
        <v>48</v>
      </c>
      <c r="L77" t="s">
        <v>16</v>
      </c>
      <c r="M77" s="1">
        <v>46183</v>
      </c>
    </row>
    <row r="78" spans="1:13" x14ac:dyDescent="0.25">
      <c r="A78" t="s">
        <v>18</v>
      </c>
      <c r="B78" s="1">
        <v>46195</v>
      </c>
      <c r="C78" t="s">
        <v>58</v>
      </c>
      <c r="D78" t="s">
        <v>58</v>
      </c>
      <c r="E78" t="s">
        <v>15</v>
      </c>
      <c r="F78">
        <v>5</v>
      </c>
      <c r="G78">
        <v>250</v>
      </c>
      <c r="H78">
        <v>6</v>
      </c>
      <c r="I78">
        <f>H78*G78</f>
        <v>1500</v>
      </c>
      <c r="K78" t="s">
        <v>16</v>
      </c>
      <c r="M78" s="1">
        <v>46188</v>
      </c>
    </row>
    <row r="79" spans="1:13" x14ac:dyDescent="0.25">
      <c r="A79" t="s">
        <v>22</v>
      </c>
      <c r="B79" s="1">
        <v>46182</v>
      </c>
      <c r="C79" t="s">
        <v>59</v>
      </c>
      <c r="D79" t="s">
        <v>59</v>
      </c>
      <c r="E79" t="s">
        <v>25</v>
      </c>
      <c r="F79">
        <v>2</v>
      </c>
      <c r="G79">
        <v>1</v>
      </c>
      <c r="H79">
        <v>24</v>
      </c>
      <c r="I79">
        <f>H79*G79</f>
        <v>24</v>
      </c>
      <c r="L79" t="s">
        <v>16</v>
      </c>
      <c r="M79" s="1">
        <v>46181</v>
      </c>
    </row>
    <row r="80" spans="1:13" x14ac:dyDescent="0.25">
      <c r="A80" t="s">
        <v>22</v>
      </c>
      <c r="B80" s="1">
        <v>46184</v>
      </c>
      <c r="C80" t="s">
        <v>60</v>
      </c>
      <c r="D80" t="s">
        <v>60</v>
      </c>
      <c r="E80" t="s">
        <v>25</v>
      </c>
      <c r="F80">
        <v>4</v>
      </c>
      <c r="G80">
        <v>1</v>
      </c>
      <c r="H80">
        <v>24</v>
      </c>
      <c r="I80">
        <f>H80*G80</f>
        <v>24</v>
      </c>
      <c r="L80" t="s">
        <v>16</v>
      </c>
      <c r="M80" s="1">
        <v>46183</v>
      </c>
    </row>
    <row r="81" spans="1:13" x14ac:dyDescent="0.25">
      <c r="A81" t="s">
        <v>13</v>
      </c>
      <c r="B81" s="1">
        <v>46181</v>
      </c>
      <c r="C81" t="s">
        <v>61</v>
      </c>
      <c r="D81" t="s">
        <v>61</v>
      </c>
      <c r="E81" t="s">
        <v>15</v>
      </c>
      <c r="F81">
        <v>1</v>
      </c>
      <c r="G81">
        <v>2</v>
      </c>
      <c r="H81">
        <v>24</v>
      </c>
      <c r="I81">
        <f>H81*G81</f>
        <v>48</v>
      </c>
      <c r="L81" t="s">
        <v>16</v>
      </c>
      <c r="M81" s="1">
        <v>46181</v>
      </c>
    </row>
    <row r="82" spans="1:13" x14ac:dyDescent="0.25">
      <c r="A82" t="s">
        <v>17</v>
      </c>
      <c r="B82" s="1">
        <v>46181</v>
      </c>
      <c r="C82" t="s">
        <v>61</v>
      </c>
      <c r="D82" t="s">
        <v>61</v>
      </c>
      <c r="E82" t="s">
        <v>15</v>
      </c>
      <c r="F82">
        <v>1</v>
      </c>
      <c r="G82">
        <v>2</v>
      </c>
      <c r="H82">
        <v>19</v>
      </c>
      <c r="I82">
        <f>H82*G82</f>
        <v>38</v>
      </c>
      <c r="L82" t="s">
        <v>16</v>
      </c>
      <c r="M82" s="1">
        <v>46181</v>
      </c>
    </row>
    <row r="83" spans="1:13" x14ac:dyDescent="0.25">
      <c r="A83" t="s">
        <v>18</v>
      </c>
      <c r="B83" s="1">
        <v>46189</v>
      </c>
      <c r="C83" t="s">
        <v>61</v>
      </c>
      <c r="D83" t="s">
        <v>61</v>
      </c>
      <c r="E83" t="s">
        <v>15</v>
      </c>
      <c r="F83">
        <v>1</v>
      </c>
      <c r="G83">
        <v>1</v>
      </c>
      <c r="H83">
        <v>8</v>
      </c>
      <c r="I83">
        <f>H83*G83</f>
        <v>8</v>
      </c>
      <c r="L83" t="s">
        <v>16</v>
      </c>
      <c r="M83" s="1">
        <v>46188</v>
      </c>
    </row>
    <row r="84" spans="1:13" x14ac:dyDescent="0.25">
      <c r="A84" t="s">
        <v>19</v>
      </c>
      <c r="B84" s="1">
        <v>46181</v>
      </c>
      <c r="C84" t="s">
        <v>61</v>
      </c>
      <c r="D84" t="s">
        <v>61</v>
      </c>
      <c r="E84" t="s">
        <v>15</v>
      </c>
      <c r="F84">
        <v>1</v>
      </c>
      <c r="G84">
        <v>2</v>
      </c>
      <c r="H84">
        <v>22</v>
      </c>
      <c r="I84">
        <f>H84*G84</f>
        <v>44</v>
      </c>
      <c r="L84" t="s">
        <v>16</v>
      </c>
      <c r="M84" s="1">
        <v>46181</v>
      </c>
    </row>
    <row r="85" spans="1:13" x14ac:dyDescent="0.25">
      <c r="A85" t="s">
        <v>20</v>
      </c>
      <c r="B85" s="1">
        <v>46181</v>
      </c>
      <c r="C85" t="s">
        <v>61</v>
      </c>
      <c r="D85" t="s">
        <v>61</v>
      </c>
      <c r="E85" t="s">
        <v>15</v>
      </c>
      <c r="F85">
        <v>1</v>
      </c>
      <c r="G85">
        <v>2</v>
      </c>
      <c r="H85">
        <v>50</v>
      </c>
      <c r="I85">
        <f>H85*G85</f>
        <v>100</v>
      </c>
      <c r="L85" t="s">
        <v>16</v>
      </c>
      <c r="M85" s="1">
        <v>46181</v>
      </c>
    </row>
    <row r="86" spans="1:13" x14ac:dyDescent="0.25">
      <c r="A86" t="s">
        <v>21</v>
      </c>
      <c r="B86" s="1">
        <v>46181</v>
      </c>
      <c r="C86" t="s">
        <v>61</v>
      </c>
      <c r="D86" t="s">
        <v>61</v>
      </c>
      <c r="E86" t="s">
        <v>15</v>
      </c>
      <c r="F86">
        <v>1</v>
      </c>
      <c r="G86">
        <v>2</v>
      </c>
      <c r="H86">
        <v>25</v>
      </c>
      <c r="I86">
        <f>H86*G86</f>
        <v>50</v>
      </c>
      <c r="L86" t="s">
        <v>16</v>
      </c>
      <c r="M86" s="1">
        <v>46181</v>
      </c>
    </row>
    <row r="87" spans="1:13" x14ac:dyDescent="0.25">
      <c r="A87" t="s">
        <v>22</v>
      </c>
      <c r="B87" s="1">
        <v>46185</v>
      </c>
      <c r="C87" t="s">
        <v>61</v>
      </c>
      <c r="D87" t="s">
        <v>61</v>
      </c>
      <c r="E87" t="s">
        <v>24</v>
      </c>
      <c r="F87">
        <v>5</v>
      </c>
      <c r="G87">
        <v>2</v>
      </c>
      <c r="H87">
        <v>24</v>
      </c>
      <c r="I87">
        <f>H87*G87</f>
        <v>48</v>
      </c>
      <c r="L87" t="s">
        <v>16</v>
      </c>
      <c r="M87" s="1">
        <v>46185</v>
      </c>
    </row>
    <row r="88" spans="1:13" x14ac:dyDescent="0.25">
      <c r="A88" t="s">
        <v>20</v>
      </c>
      <c r="B88" s="1">
        <v>46183</v>
      </c>
      <c r="C88" t="s">
        <v>62</v>
      </c>
      <c r="D88" t="s">
        <v>62</v>
      </c>
      <c r="E88" t="s">
        <v>63</v>
      </c>
      <c r="F88">
        <v>3</v>
      </c>
      <c r="G88">
        <v>100</v>
      </c>
      <c r="H88">
        <v>1</v>
      </c>
      <c r="I88">
        <f>H88*G88</f>
      </c>
      <c r="J88" t="s">
        <v>64</v>
      </c>
      <c r="L88" t="s">
        <v>16</v>
      </c>
      <c r="M88" s="1">
        <v>46183</v>
      </c>
    </row>
    <row r="89" spans="1:13" x14ac:dyDescent="0.25">
      <c r="A89" t="s">
        <v>20</v>
      </c>
      <c r="B89" s="1">
        <v>46186</v>
      </c>
      <c r="C89" t="s">
        <v>62</v>
      </c>
      <c r="D89" t="s">
        <v>62</v>
      </c>
      <c r="E89" t="s">
        <v>63</v>
      </c>
      <c r="F89">
        <v>6</v>
      </c>
      <c r="G89">
        <v>100</v>
      </c>
      <c r="H89">
        <v>1</v>
      </c>
      <c r="I89">
        <f>H89*G89</f>
      </c>
      <c r="J89" t="s">
        <v>64</v>
      </c>
      <c r="L89" t="s">
        <v>16</v>
      </c>
      <c r="M89" s="1">
        <v>46183</v>
      </c>
    </row>
    <row r="90" spans="1:13" x14ac:dyDescent="0.25">
      <c r="A90" t="s">
        <v>20</v>
      </c>
      <c r="B90" s="1">
        <v>46183</v>
      </c>
      <c r="C90" t="s">
        <v>65</v>
      </c>
      <c r="D90" t="s">
        <v>65</v>
      </c>
      <c r="E90" t="s">
        <v>48</v>
      </c>
      <c r="F90">
        <v>3</v>
      </c>
      <c r="G90">
        <v>250</v>
      </c>
      <c r="H90">
        <v>1</v>
      </c>
      <c r="I90">
        <f>H90*G90</f>
      </c>
      <c r="L90" t="s">
        <v>16</v>
      </c>
      <c r="M90" s="1">
        <v>46183</v>
      </c>
    </row>
    <row r="91" spans="1:13" x14ac:dyDescent="0.25">
      <c r="A91" t="s">
        <v>13</v>
      </c>
      <c r="B91" s="1">
        <v>46181</v>
      </c>
      <c r="C91" t="s">
        <v>66</v>
      </c>
      <c r="D91" t="s">
        <v>66</v>
      </c>
      <c r="E91" t="s">
        <v>63</v>
      </c>
      <c r="F91">
        <v>1</v>
      </c>
      <c r="G91">
        <v>100</v>
      </c>
      <c r="H91">
        <v>1</v>
      </c>
      <c r="I91">
        <f>H91*G91</f>
        <v>100</v>
      </c>
      <c r="J91" t="s">
        <v>67</v>
      </c>
      <c r="L91" t="s">
        <v>16</v>
      </c>
      <c r="M91" s="1">
        <v>46181</v>
      </c>
    </row>
    <row r="92" spans="1:13" x14ac:dyDescent="0.25">
      <c r="A92" t="s">
        <v>20</v>
      </c>
      <c r="B92" s="1">
        <v>46181</v>
      </c>
      <c r="C92" t="s">
        <v>66</v>
      </c>
      <c r="D92" t="s">
        <v>66</v>
      </c>
      <c r="E92" t="s">
        <v>63</v>
      </c>
      <c r="F92">
        <v>1</v>
      </c>
      <c r="G92">
        <v>100</v>
      </c>
      <c r="H92">
        <v>1</v>
      </c>
      <c r="I92">
        <f>H92*G92</f>
        <v>100</v>
      </c>
      <c r="J92" t="s">
        <v>68</v>
      </c>
      <c r="L92" t="s">
        <v>16</v>
      </c>
      <c r="M92" s="1">
        <v>46181</v>
      </c>
    </row>
    <row r="93" spans="1:13" x14ac:dyDescent="0.25">
      <c r="A93" t="s">
        <v>20</v>
      </c>
      <c r="B93" s="1">
        <v>46182</v>
      </c>
      <c r="C93" t="s">
        <v>66</v>
      </c>
      <c r="D93" t="s">
        <v>66</v>
      </c>
      <c r="E93" t="s">
        <v>63</v>
      </c>
      <c r="F93">
        <v>2</v>
      </c>
      <c r="G93">
        <v>100</v>
      </c>
      <c r="H93">
        <v>1</v>
      </c>
      <c r="I93">
        <f>H93*G93</f>
        <v>100</v>
      </c>
      <c r="J93" t="s">
        <v>68</v>
      </c>
      <c r="L93" t="s">
        <v>16</v>
      </c>
      <c r="M93" s="1">
        <v>46181</v>
      </c>
    </row>
    <row r="94" spans="1:13" x14ac:dyDescent="0.25">
      <c r="A94" t="s">
        <v>20</v>
      </c>
      <c r="B94" s="1">
        <v>46184</v>
      </c>
      <c r="C94" t="s">
        <v>66</v>
      </c>
      <c r="D94" t="s">
        <v>66</v>
      </c>
      <c r="E94" t="s">
        <v>63</v>
      </c>
      <c r="F94">
        <v>4</v>
      </c>
      <c r="G94">
        <v>100</v>
      </c>
      <c r="H94">
        <v>1</v>
      </c>
      <c r="I94">
        <f>H94*G94</f>
      </c>
      <c r="J94" t="s">
        <v>64</v>
      </c>
      <c r="L94" t="s">
        <v>16</v>
      </c>
      <c r="M94" s="1">
        <v>46183</v>
      </c>
    </row>
    <row r="95" spans="1:13" x14ac:dyDescent="0.25">
      <c r="A95" t="s">
        <v>20</v>
      </c>
      <c r="B95" s="1">
        <v>46185</v>
      </c>
      <c r="C95" t="s">
        <v>66</v>
      </c>
      <c r="D95" t="s">
        <v>66</v>
      </c>
      <c r="E95" t="s">
        <v>63</v>
      </c>
      <c r="F95">
        <v>5</v>
      </c>
      <c r="G95">
        <v>100</v>
      </c>
      <c r="H95">
        <v>1</v>
      </c>
      <c r="I95">
        <f>H95*G95</f>
      </c>
      <c r="J95" t="s">
        <v>64</v>
      </c>
      <c r="L95" t="s">
        <v>16</v>
      </c>
      <c r="M95" s="1">
        <v>46183</v>
      </c>
    </row>
    <row r="96" spans="1:13" x14ac:dyDescent="0.25">
      <c r="A96" t="s">
        <v>20</v>
      </c>
      <c r="B96" s="1">
        <v>46185</v>
      </c>
      <c r="C96" t="s">
        <v>66</v>
      </c>
      <c r="D96" t="s">
        <v>66</v>
      </c>
      <c r="E96" t="s">
        <v>63</v>
      </c>
      <c r="F96">
        <v>5</v>
      </c>
      <c r="G96">
        <v>100</v>
      </c>
      <c r="H96">
        <v>1</v>
      </c>
      <c r="I96">
        <f>H96*G96</f>
      </c>
      <c r="J96" t="s">
        <v>69</v>
      </c>
      <c r="L96" t="s">
        <v>16</v>
      </c>
      <c r="M96" s="1">
        <v>46183</v>
      </c>
    </row>
    <row r="97" spans="1:13" x14ac:dyDescent="0.25">
      <c r="A97" t="s">
        <v>20</v>
      </c>
      <c r="B97" s="1">
        <v>46182</v>
      </c>
      <c r="C97" t="s">
        <v>66</v>
      </c>
      <c r="D97" t="s">
        <v>66</v>
      </c>
      <c r="E97" t="s">
        <v>63</v>
      </c>
      <c r="F97">
        <v>2</v>
      </c>
      <c r="G97">
        <v>100</v>
      </c>
      <c r="H97">
        <v>1</v>
      </c>
      <c r="I97">
        <f>H97*G97</f>
        <v>100</v>
      </c>
      <c r="J97" t="s">
        <v>70</v>
      </c>
      <c r="L97" t="s">
        <v>16</v>
      </c>
      <c r="M97" s="1">
        <v>46181</v>
      </c>
    </row>
    <row r="98" spans="1:13" x14ac:dyDescent="0.25">
      <c r="A98" t="s">
        <v>20</v>
      </c>
      <c r="B98" s="1">
        <v>46181</v>
      </c>
      <c r="C98" t="s">
        <v>71</v>
      </c>
      <c r="D98" t="s">
        <v>71</v>
      </c>
      <c r="E98" t="s">
        <v>63</v>
      </c>
      <c r="F98">
        <v>1</v>
      </c>
      <c r="G98">
        <v>2</v>
      </c>
      <c r="H98">
        <v>1</v>
      </c>
      <c r="I98">
        <f>H98*G98</f>
        <v>2</v>
      </c>
      <c r="J98" t="s">
        <v>72</v>
      </c>
      <c r="L98" t="s">
        <v>16</v>
      </c>
      <c r="M98" s="1">
        <v>46181</v>
      </c>
    </row>
    <row r="99" spans="1:13" x14ac:dyDescent="0.25">
      <c r="A99" t="s">
        <v>18</v>
      </c>
      <c r="B99" s="1">
        <v>46195</v>
      </c>
      <c r="C99" t="s">
        <v>73</v>
      </c>
      <c r="D99" t="s">
        <v>73</v>
      </c>
      <c r="E99" t="s">
        <v>15</v>
      </c>
      <c r="F99">
        <v>5</v>
      </c>
      <c r="G99">
        <v>2</v>
      </c>
      <c r="H99">
        <v>6</v>
      </c>
      <c r="I99">
        <f>H99*G99</f>
        <v>12</v>
      </c>
      <c r="K99" t="s">
        <v>16</v>
      </c>
      <c r="M99" s="1">
        <v>46188</v>
      </c>
    </row>
    <row r="100" spans="1:13" x14ac:dyDescent="0.25">
      <c r="A100" t="s">
        <v>43</v>
      </c>
      <c r="B100" s="1">
        <v>46179</v>
      </c>
      <c r="C100" t="s">
        <v>74</v>
      </c>
      <c r="D100" t="s">
        <v>74</v>
      </c>
      <c r="E100" t="s">
        <v>63</v>
      </c>
      <c r="F100">
        <v>6</v>
      </c>
      <c r="G100">
        <v>91</v>
      </c>
      <c r="H100">
        <v>1</v>
      </c>
      <c r="I100">
        <v>91</v>
      </c>
      <c r="J100" t="s">
        <v>75</v>
      </c>
      <c r="L100" t="s">
        <v>16</v>
      </c>
      <c r="M100" s="1">
        <v>46178</v>
      </c>
    </row>
    <row r="101" spans="1:13" x14ac:dyDescent="0.25">
      <c r="A101" t="s">
        <v>45</v>
      </c>
      <c r="B101" s="1">
        <v>46179</v>
      </c>
      <c r="C101" t="s">
        <v>74</v>
      </c>
      <c r="D101" t="s">
        <v>74</v>
      </c>
      <c r="E101" t="s">
        <v>63</v>
      </c>
      <c r="F101">
        <v>6</v>
      </c>
      <c r="G101">
        <v>91</v>
      </c>
      <c r="H101">
        <v>1</v>
      </c>
      <c r="I101">
        <v>91</v>
      </c>
      <c r="J101" t="s">
        <v>76</v>
      </c>
      <c r="L101" t="s">
        <v>16</v>
      </c>
      <c r="M101" s="1">
        <v>46178</v>
      </c>
    </row>
    <row r="102" spans="1:13" x14ac:dyDescent="0.25">
      <c r="A102" t="s">
        <v>22</v>
      </c>
      <c r="B102" s="1">
        <v>46185</v>
      </c>
      <c r="C102" t="s">
        <v>77</v>
      </c>
      <c r="D102" t="s">
        <v>77</v>
      </c>
      <c r="E102" t="s">
        <v>24</v>
      </c>
      <c r="F102">
        <v>5</v>
      </c>
      <c r="G102">
        <v>1</v>
      </c>
      <c r="H102">
        <v>24</v>
      </c>
      <c r="I102">
        <f>H102*G102</f>
        <v>24</v>
      </c>
      <c r="L102" t="s">
        <v>16</v>
      </c>
      <c r="M102" s="1">
        <v>46185</v>
      </c>
    </row>
    <row r="103" spans="1:13" x14ac:dyDescent="0.25">
      <c r="A103" t="s">
        <v>22</v>
      </c>
      <c r="B103" s="1">
        <v>46186</v>
      </c>
      <c r="C103" t="s">
        <v>78</v>
      </c>
      <c r="D103" t="s">
        <v>78</v>
      </c>
      <c r="E103" t="s">
        <v>25</v>
      </c>
      <c r="F103">
        <v>6</v>
      </c>
      <c r="G103">
        <v>1</v>
      </c>
      <c r="H103">
        <v>24</v>
      </c>
      <c r="I103">
        <f>H103*G103</f>
        <v>24</v>
      </c>
      <c r="L103" t="s">
        <v>16</v>
      </c>
      <c r="M103" s="1">
        <v>46185</v>
      </c>
    </row>
    <row r="104" spans="1:13" x14ac:dyDescent="0.25">
      <c r="A104" t="s">
        <v>13</v>
      </c>
      <c r="B104" s="1">
        <v>46185</v>
      </c>
      <c r="C104" t="s">
        <v>79</v>
      </c>
      <c r="D104" t="s">
        <v>79</v>
      </c>
      <c r="E104" t="s">
        <v>15</v>
      </c>
      <c r="F104">
        <v>5</v>
      </c>
      <c r="G104">
        <v>1</v>
      </c>
      <c r="H104">
        <v>22</v>
      </c>
      <c r="I104">
        <f>H104*G104</f>
        <v>22</v>
      </c>
      <c r="L104" t="s">
        <v>16</v>
      </c>
      <c r="M104" s="1">
        <v>46183</v>
      </c>
    </row>
    <row r="105" spans="1:13" x14ac:dyDescent="0.25">
      <c r="A105" t="s">
        <v>17</v>
      </c>
      <c r="B105" s="1">
        <v>46185</v>
      </c>
      <c r="C105" t="s">
        <v>79</v>
      </c>
      <c r="D105" t="s">
        <v>79</v>
      </c>
      <c r="E105" t="s">
        <v>15</v>
      </c>
      <c r="F105">
        <v>5</v>
      </c>
      <c r="G105">
        <v>1</v>
      </c>
      <c r="H105">
        <v>21</v>
      </c>
      <c r="I105">
        <f>H105*G105</f>
        <v>21</v>
      </c>
      <c r="L105" t="s">
        <v>16</v>
      </c>
      <c r="M105" s="1">
        <v>46183</v>
      </c>
    </row>
    <row r="106" spans="1:13" x14ac:dyDescent="0.25">
      <c r="A106" t="s">
        <v>50</v>
      </c>
      <c r="B106" s="1">
        <v>46186</v>
      </c>
      <c r="C106" t="s">
        <v>79</v>
      </c>
      <c r="D106" t="s">
        <v>79</v>
      </c>
      <c r="E106" t="s">
        <v>15</v>
      </c>
      <c r="F106">
        <v>6</v>
      </c>
      <c r="G106">
        <v>1</v>
      </c>
      <c r="H106">
        <v>12</v>
      </c>
      <c r="I106">
        <f>H106*G106</f>
        <v>12</v>
      </c>
      <c r="L106" t="s">
        <v>16</v>
      </c>
      <c r="M106" s="1">
        <v>46183</v>
      </c>
    </row>
    <row r="107" spans="1:13" x14ac:dyDescent="0.25">
      <c r="A107" t="s">
        <v>19</v>
      </c>
      <c r="B107" s="1">
        <v>46185</v>
      </c>
      <c r="C107" t="s">
        <v>79</v>
      </c>
      <c r="D107" t="s">
        <v>79</v>
      </c>
      <c r="E107" t="s">
        <v>15</v>
      </c>
      <c r="F107">
        <v>5</v>
      </c>
      <c r="G107">
        <v>1</v>
      </c>
      <c r="H107">
        <v>20</v>
      </c>
      <c r="I107">
        <f>H107*G107</f>
        <v>20</v>
      </c>
      <c r="L107" t="s">
        <v>16</v>
      </c>
      <c r="M107" s="1">
        <v>46183</v>
      </c>
    </row>
    <row r="108" spans="1:13" x14ac:dyDescent="0.25">
      <c r="A108" t="s">
        <v>20</v>
      </c>
      <c r="B108" s="1">
        <v>46185</v>
      </c>
      <c r="C108" t="s">
        <v>79</v>
      </c>
      <c r="D108" t="s">
        <v>79</v>
      </c>
      <c r="E108" t="s">
        <v>15</v>
      </c>
      <c r="F108">
        <v>5</v>
      </c>
      <c r="G108">
        <v>1</v>
      </c>
      <c r="H108">
        <v>1</v>
      </c>
      <c r="I108">
        <f>H108*G108</f>
      </c>
      <c r="L108" t="s">
        <v>16</v>
      </c>
      <c r="M108" s="1">
        <v>46183</v>
      </c>
    </row>
    <row r="109" spans="1:13" x14ac:dyDescent="0.25">
      <c r="A109" t="s">
        <v>20</v>
      </c>
      <c r="B109" s="1">
        <v>46186</v>
      </c>
      <c r="C109" t="s">
        <v>79</v>
      </c>
      <c r="D109" t="s">
        <v>79</v>
      </c>
      <c r="E109" t="s">
        <v>15</v>
      </c>
      <c r="F109">
        <v>6</v>
      </c>
      <c r="G109">
        <v>1</v>
      </c>
      <c r="H109">
        <v>1</v>
      </c>
      <c r="I109">
        <f>H109*G109</f>
      </c>
      <c r="L109" t="s">
        <v>16</v>
      </c>
      <c r="M109" s="1">
        <v>46183</v>
      </c>
    </row>
    <row r="110" spans="1:13" x14ac:dyDescent="0.25">
      <c r="A110" t="s">
        <v>21</v>
      </c>
      <c r="B110" s="1">
        <v>46185</v>
      </c>
      <c r="C110" t="s">
        <v>79</v>
      </c>
      <c r="D110" t="s">
        <v>79</v>
      </c>
      <c r="E110" t="s">
        <v>15</v>
      </c>
      <c r="F110">
        <v>5</v>
      </c>
      <c r="G110">
        <v>1</v>
      </c>
      <c r="H110">
        <v>45</v>
      </c>
      <c r="I110">
        <f>H110*G110</f>
        <v>45</v>
      </c>
      <c r="L110" t="s">
        <v>16</v>
      </c>
      <c r="M110" s="1">
        <v>46183</v>
      </c>
    </row>
    <row r="111" spans="1:13" x14ac:dyDescent="0.25">
      <c r="A111" t="s">
        <v>42</v>
      </c>
      <c r="B111" s="1">
        <v>46178</v>
      </c>
      <c r="C111" t="s">
        <v>80</v>
      </c>
      <c r="D111" t="s">
        <v>80</v>
      </c>
      <c r="E111" t="s">
        <v>63</v>
      </c>
      <c r="F111">
        <v>5</v>
      </c>
      <c r="G111">
        <v>1.3</v>
      </c>
      <c r="H111">
        <v>1</v>
      </c>
      <c r="I111" s="3">
        <v>2</v>
      </c>
      <c r="J111" t="s">
        <v>81</v>
      </c>
      <c r="L111" t="s">
        <v>16</v>
      </c>
      <c r="M111" s="1">
        <v>46178</v>
      </c>
    </row>
    <row r="112" spans="1:13" x14ac:dyDescent="0.25">
      <c r="A112" t="s">
        <v>43</v>
      </c>
      <c r="B112" s="1">
        <v>46178</v>
      </c>
      <c r="C112" t="s">
        <v>80</v>
      </c>
      <c r="D112" t="s">
        <v>80</v>
      </c>
      <c r="E112" t="s">
        <v>63</v>
      </c>
      <c r="F112">
        <v>5</v>
      </c>
      <c r="G112">
        <v>1.3</v>
      </c>
      <c r="H112">
        <v>1</v>
      </c>
      <c r="I112" s="3">
        <v>2</v>
      </c>
      <c r="J112" t="s">
        <v>82</v>
      </c>
      <c r="L112" t="s">
        <v>16</v>
      </c>
      <c r="M112" s="1">
        <v>46178</v>
      </c>
    </row>
    <row r="113" spans="1:13" x14ac:dyDescent="0.25">
      <c r="A113" t="s">
        <v>19</v>
      </c>
      <c r="B113" s="1">
        <v>46185</v>
      </c>
      <c r="C113" t="s">
        <v>80</v>
      </c>
      <c r="D113" t="s">
        <v>80</v>
      </c>
      <c r="E113" t="s">
        <v>63</v>
      </c>
      <c r="F113">
        <v>5</v>
      </c>
      <c r="G113">
        <v>1</v>
      </c>
      <c r="H113">
        <v>1</v>
      </c>
      <c r="I113">
        <f>H113*G113</f>
        <v>1</v>
      </c>
      <c r="J113" t="s">
        <v>83</v>
      </c>
      <c r="L113" t="s">
        <v>16</v>
      </c>
      <c r="M113" s="1">
        <v>46183</v>
      </c>
    </row>
    <row r="114" spans="1:13" x14ac:dyDescent="0.25">
      <c r="A114" t="s">
        <v>20</v>
      </c>
      <c r="B114" s="1">
        <v>46185</v>
      </c>
      <c r="C114" t="s">
        <v>80</v>
      </c>
      <c r="D114" t="s">
        <v>80</v>
      </c>
      <c r="E114" t="s">
        <v>63</v>
      </c>
      <c r="F114">
        <v>5</v>
      </c>
      <c r="G114">
        <v>1</v>
      </c>
      <c r="H114">
        <v>1</v>
      </c>
      <c r="I114">
        <f>H114*G114</f>
      </c>
      <c r="J114" t="s">
        <v>33</v>
      </c>
      <c r="L114" t="s">
        <v>16</v>
      </c>
      <c r="M114" s="1">
        <v>46183</v>
      </c>
    </row>
    <row r="115" spans="1:13" x14ac:dyDescent="0.25">
      <c r="A115" t="s">
        <v>42</v>
      </c>
      <c r="B115" s="1">
        <v>46179</v>
      </c>
      <c r="C115" t="s">
        <v>84</v>
      </c>
      <c r="D115" t="s">
        <v>84</v>
      </c>
      <c r="E115" t="s">
        <v>63</v>
      </c>
      <c r="F115">
        <v>6</v>
      </c>
      <c r="G115">
        <v>1</v>
      </c>
      <c r="H115">
        <v>1</v>
      </c>
      <c r="I115">
        <v>1</v>
      </c>
      <c r="J115" t="s">
        <v>81</v>
      </c>
      <c r="L115" t="s">
        <v>16</v>
      </c>
      <c r="M115" s="1">
        <v>46178</v>
      </c>
    </row>
    <row r="116" spans="1:13" x14ac:dyDescent="0.25">
      <c r="A116" t="s">
        <v>43</v>
      </c>
      <c r="B116" s="1">
        <v>46179</v>
      </c>
      <c r="C116" t="s">
        <v>84</v>
      </c>
      <c r="D116" t="s">
        <v>84</v>
      </c>
      <c r="E116" t="s">
        <v>63</v>
      </c>
      <c r="F116">
        <v>6</v>
      </c>
      <c r="G116">
        <v>1</v>
      </c>
      <c r="H116">
        <v>1</v>
      </c>
      <c r="I116">
        <v>1</v>
      </c>
      <c r="J116" t="s">
        <v>82</v>
      </c>
      <c r="L116" t="s">
        <v>16</v>
      </c>
      <c r="M116" s="1">
        <v>46178</v>
      </c>
    </row>
    <row r="117" spans="1:13" x14ac:dyDescent="0.25">
      <c r="A117" t="s">
        <v>20</v>
      </c>
      <c r="B117" s="1">
        <v>46185</v>
      </c>
      <c r="C117" t="s">
        <v>85</v>
      </c>
      <c r="D117" t="s">
        <v>85</v>
      </c>
      <c r="E117" t="s">
        <v>63</v>
      </c>
      <c r="F117">
        <v>5</v>
      </c>
      <c r="G117">
        <v>1</v>
      </c>
      <c r="H117">
        <v>1</v>
      </c>
      <c r="I117">
        <f>H117*G117</f>
      </c>
      <c r="J117" t="s">
        <v>33</v>
      </c>
      <c r="L117" t="s">
        <v>16</v>
      </c>
      <c r="M117" s="1">
        <v>46183</v>
      </c>
    </row>
    <row r="118" spans="1:13" x14ac:dyDescent="0.25">
      <c r="A118" t="s">
        <v>22</v>
      </c>
      <c r="B118" s="1">
        <v>46187</v>
      </c>
      <c r="C118" t="s">
        <v>86</v>
      </c>
      <c r="D118" t="s">
        <v>86</v>
      </c>
      <c r="E118" t="s">
        <v>25</v>
      </c>
      <c r="F118">
        <v>7</v>
      </c>
      <c r="G118">
        <v>1</v>
      </c>
      <c r="H118">
        <v>24</v>
      </c>
      <c r="I118">
        <f>H118*G118</f>
        <v>24</v>
      </c>
      <c r="L118" t="s">
        <v>16</v>
      </c>
      <c r="M118" s="1">
        <v>46185</v>
      </c>
    </row>
    <row r="119" spans="1:13" x14ac:dyDescent="0.25">
      <c r="A119" t="s">
        <v>22</v>
      </c>
      <c r="B119" s="1">
        <v>46183</v>
      </c>
      <c r="C119" t="s">
        <v>87</v>
      </c>
      <c r="D119" t="s">
        <v>87</v>
      </c>
      <c r="E119" t="s">
        <v>24</v>
      </c>
      <c r="F119">
        <v>3</v>
      </c>
      <c r="G119">
        <v>1</v>
      </c>
      <c r="H119">
        <v>24</v>
      </c>
      <c r="I119">
        <f>H119*G119</f>
        <v>24</v>
      </c>
      <c r="L119" t="s">
        <v>16</v>
      </c>
      <c r="M119" s="1">
        <v>46183</v>
      </c>
    </row>
    <row r="120" spans="1:13" x14ac:dyDescent="0.25">
      <c r="A120" t="s">
        <v>20</v>
      </c>
      <c r="B120" s="1">
        <v>46182</v>
      </c>
      <c r="C120" t="s">
        <v>88</v>
      </c>
      <c r="D120" t="s">
        <v>88</v>
      </c>
      <c r="E120" t="s">
        <v>25</v>
      </c>
      <c r="F120">
        <v>2</v>
      </c>
      <c r="G120">
        <v>1</v>
      </c>
      <c r="H120">
        <v>1</v>
      </c>
      <c r="I120">
        <f>H120*G120</f>
      </c>
      <c r="L120" t="s">
        <v>16</v>
      </c>
      <c r="M120" s="1">
        <v>46181</v>
      </c>
    </row>
    <row r="121" spans="1:13" x14ac:dyDescent="0.25">
      <c r="A121" t="s">
        <v>20</v>
      </c>
      <c r="B121" s="1">
        <v>46185</v>
      </c>
      <c r="C121" t="s">
        <v>88</v>
      </c>
      <c r="D121" t="s">
        <v>88</v>
      </c>
      <c r="E121" t="s">
        <v>28</v>
      </c>
      <c r="F121">
        <v>5</v>
      </c>
      <c r="G121">
        <v>1</v>
      </c>
      <c r="H121">
        <v>1</v>
      </c>
      <c r="I121">
        <f>H121*G121</f>
      </c>
      <c r="J121" t="s">
        <v>33</v>
      </c>
      <c r="L121" t="s">
        <v>16</v>
      </c>
      <c r="M121" s="1">
        <v>46183</v>
      </c>
    </row>
    <row r="122" spans="1:13" x14ac:dyDescent="0.25">
      <c r="A122" t="s">
        <v>22</v>
      </c>
      <c r="B122" s="1">
        <v>46186</v>
      </c>
      <c r="C122" t="s">
        <v>88</v>
      </c>
      <c r="D122" t="s">
        <v>88</v>
      </c>
      <c r="E122" t="s">
        <v>25</v>
      </c>
      <c r="F122">
        <v>6</v>
      </c>
      <c r="G122">
        <v>1</v>
      </c>
      <c r="H122">
        <v>24</v>
      </c>
      <c r="I122">
        <f>H122*G122</f>
        <v>24</v>
      </c>
      <c r="L122" t="s">
        <v>16</v>
      </c>
      <c r="M122" s="1">
        <v>46185</v>
      </c>
    </row>
    <row r="123" spans="1:13" x14ac:dyDescent="0.25">
      <c r="A123" t="s">
        <v>13</v>
      </c>
      <c r="B123" s="1">
        <v>46183</v>
      </c>
      <c r="C123" t="s">
        <v>89</v>
      </c>
      <c r="D123" t="s">
        <v>89</v>
      </c>
      <c r="E123" t="s">
        <v>15</v>
      </c>
      <c r="F123">
        <v>3</v>
      </c>
      <c r="G123">
        <v>1</v>
      </c>
      <c r="H123">
        <v>27</v>
      </c>
      <c r="I123">
        <f>H123*G123</f>
        <v>27</v>
      </c>
      <c r="L123" t="s">
        <v>16</v>
      </c>
      <c r="M123" s="1">
        <v>46183</v>
      </c>
    </row>
    <row r="124" spans="1:13" x14ac:dyDescent="0.25">
      <c r="A124" t="s">
        <v>17</v>
      </c>
      <c r="B124" s="1">
        <v>46183</v>
      </c>
      <c r="C124" t="s">
        <v>89</v>
      </c>
      <c r="D124" t="s">
        <v>89</v>
      </c>
      <c r="E124" t="s">
        <v>15</v>
      </c>
      <c r="F124">
        <v>3</v>
      </c>
      <c r="G124">
        <v>1</v>
      </c>
      <c r="H124">
        <v>20</v>
      </c>
      <c r="I124">
        <f>H124*G124</f>
        <v>20</v>
      </c>
      <c r="L124" t="s">
        <v>16</v>
      </c>
      <c r="M124" s="1">
        <v>46183</v>
      </c>
    </row>
    <row r="125" spans="1:13" x14ac:dyDescent="0.25">
      <c r="A125" t="s">
        <v>42</v>
      </c>
      <c r="B125" s="1">
        <v>46179</v>
      </c>
      <c r="C125" t="s">
        <v>89</v>
      </c>
      <c r="D125" t="s">
        <v>89</v>
      </c>
      <c r="E125" t="s">
        <v>15</v>
      </c>
      <c r="F125">
        <v>6</v>
      </c>
      <c r="G125">
        <v>1</v>
      </c>
      <c r="H125">
        <v>22</v>
      </c>
      <c r="I125">
        <v>22</v>
      </c>
      <c r="L125" t="s">
        <v>16</v>
      </c>
      <c r="M125" s="1">
        <v>46178</v>
      </c>
    </row>
    <row r="126" spans="1:13" x14ac:dyDescent="0.25">
      <c r="A126" t="s">
        <v>43</v>
      </c>
      <c r="B126" s="1">
        <v>46179</v>
      </c>
      <c r="C126" t="s">
        <v>89</v>
      </c>
      <c r="D126" t="s">
        <v>89</v>
      </c>
      <c r="E126" t="s">
        <v>15</v>
      </c>
      <c r="F126">
        <v>6</v>
      </c>
      <c r="G126">
        <v>1</v>
      </c>
      <c r="H126">
        <v>23</v>
      </c>
      <c r="I126">
        <v>23</v>
      </c>
      <c r="L126" t="s">
        <v>16</v>
      </c>
      <c r="M126" s="1">
        <v>46178</v>
      </c>
    </row>
    <row r="127" spans="1:13" x14ac:dyDescent="0.25">
      <c r="A127" t="s">
        <v>18</v>
      </c>
      <c r="B127" s="1">
        <v>46190</v>
      </c>
      <c r="C127" t="s">
        <v>89</v>
      </c>
      <c r="D127" t="s">
        <v>89</v>
      </c>
      <c r="E127" t="s">
        <v>15</v>
      </c>
      <c r="F127">
        <v>2</v>
      </c>
      <c r="G127">
        <v>1</v>
      </c>
      <c r="H127">
        <v>8</v>
      </c>
      <c r="I127">
        <f>H127*G127</f>
        <v>8</v>
      </c>
      <c r="K127" t="s">
        <v>16</v>
      </c>
      <c r="M127" s="1">
        <v>46188</v>
      </c>
    </row>
    <row r="128" spans="1:13" x14ac:dyDescent="0.25">
      <c r="A128" t="s">
        <v>18</v>
      </c>
      <c r="B128" s="1">
        <v>46191</v>
      </c>
      <c r="C128" t="s">
        <v>89</v>
      </c>
      <c r="D128" t="s">
        <v>89</v>
      </c>
      <c r="E128" t="s">
        <v>15</v>
      </c>
      <c r="F128">
        <v>3</v>
      </c>
      <c r="G128">
        <v>1</v>
      </c>
      <c r="H128">
        <v>9</v>
      </c>
      <c r="I128">
        <f>H128*G128</f>
        <v>9</v>
      </c>
      <c r="K128" t="s">
        <v>16</v>
      </c>
      <c r="M128" s="1">
        <v>46188</v>
      </c>
    </row>
    <row r="129" spans="1:13" x14ac:dyDescent="0.25">
      <c r="A129" t="s">
        <v>44</v>
      </c>
      <c r="B129" s="1">
        <v>46179</v>
      </c>
      <c r="C129" t="s">
        <v>89</v>
      </c>
      <c r="D129" t="s">
        <v>89</v>
      </c>
      <c r="E129" t="s">
        <v>15</v>
      </c>
      <c r="F129">
        <v>6</v>
      </c>
      <c r="G129">
        <v>1</v>
      </c>
      <c r="H129">
        <v>14</v>
      </c>
      <c r="I129">
        <v>14</v>
      </c>
      <c r="L129" t="s">
        <v>16</v>
      </c>
      <c r="M129" s="1">
        <v>46178</v>
      </c>
    </row>
    <row r="130" spans="1:13" x14ac:dyDescent="0.25">
      <c r="A130" t="s">
        <v>19</v>
      </c>
      <c r="B130" s="1">
        <v>46183</v>
      </c>
      <c r="C130" t="s">
        <v>89</v>
      </c>
      <c r="D130" t="s">
        <v>89</v>
      </c>
      <c r="E130" t="s">
        <v>15</v>
      </c>
      <c r="F130">
        <v>3</v>
      </c>
      <c r="G130">
        <v>1</v>
      </c>
      <c r="H130">
        <v>1</v>
      </c>
      <c r="I130">
        <f>H130*G130</f>
      </c>
      <c r="L130" t="s">
        <v>16</v>
      </c>
      <c r="M130" s="1">
        <v>46183</v>
      </c>
    </row>
    <row r="131" spans="1:13" x14ac:dyDescent="0.25">
      <c r="A131" t="s">
        <v>45</v>
      </c>
      <c r="B131" s="1">
        <v>46179</v>
      </c>
      <c r="C131" t="s">
        <v>89</v>
      </c>
      <c r="D131" t="s">
        <v>89</v>
      </c>
      <c r="E131" t="s">
        <v>15</v>
      </c>
      <c r="F131">
        <v>6</v>
      </c>
      <c r="G131">
        <v>1</v>
      </c>
      <c r="H131">
        <v>16</v>
      </c>
      <c r="I131">
        <v>16</v>
      </c>
      <c r="L131" t="s">
        <v>16</v>
      </c>
      <c r="M131" s="1">
        <v>46178</v>
      </c>
    </row>
    <row r="132" spans="1:13" x14ac:dyDescent="0.25">
      <c r="A132" t="s">
        <v>20</v>
      </c>
      <c r="B132" s="1">
        <v>46183</v>
      </c>
      <c r="C132" t="s">
        <v>89</v>
      </c>
      <c r="D132" t="s">
        <v>89</v>
      </c>
      <c r="E132" t="s">
        <v>15</v>
      </c>
      <c r="F132">
        <v>3</v>
      </c>
      <c r="G132">
        <v>1</v>
      </c>
      <c r="H132">
        <v>1</v>
      </c>
      <c r="I132">
        <f>H132*G132</f>
      </c>
      <c r="L132" t="s">
        <v>16</v>
      </c>
      <c r="M132" s="1">
        <v>46183</v>
      </c>
    </row>
    <row r="133" spans="1:13" x14ac:dyDescent="0.25">
      <c r="A133" t="s">
        <v>21</v>
      </c>
      <c r="B133" s="1">
        <v>46183</v>
      </c>
      <c r="C133" t="s">
        <v>89</v>
      </c>
      <c r="D133" t="s">
        <v>89</v>
      </c>
      <c r="E133" t="s">
        <v>15</v>
      </c>
      <c r="F133">
        <v>3</v>
      </c>
      <c r="G133">
        <v>1</v>
      </c>
      <c r="H133">
        <v>50</v>
      </c>
      <c r="I133">
        <f>H133*G133</f>
        <v>50</v>
      </c>
      <c r="L133" t="s">
        <v>16</v>
      </c>
      <c r="M133" s="1">
        <v>46183</v>
      </c>
    </row>
    <row r="134" spans="1:13" x14ac:dyDescent="0.25">
      <c r="A134" t="s">
        <v>22</v>
      </c>
      <c r="B134" s="1">
        <v>46184</v>
      </c>
      <c r="C134" t="s">
        <v>90</v>
      </c>
      <c r="D134" t="s">
        <v>90</v>
      </c>
      <c r="E134" t="s">
        <v>24</v>
      </c>
      <c r="F134">
        <v>4</v>
      </c>
      <c r="G134">
        <v>2</v>
      </c>
      <c r="H134">
        <v>24</v>
      </c>
      <c r="I134">
        <f>H134*G134</f>
        <v>48</v>
      </c>
      <c r="L134" t="s">
        <v>16</v>
      </c>
      <c r="M134" s="1">
        <v>46183</v>
      </c>
    </row>
    <row r="135" spans="1:13" x14ac:dyDescent="0.25">
      <c r="A135" t="s">
        <v>22</v>
      </c>
      <c r="B135" s="1">
        <v>46186</v>
      </c>
      <c r="C135" t="s">
        <v>90</v>
      </c>
      <c r="D135" t="s">
        <v>90</v>
      </c>
      <c r="E135" t="s">
        <v>24</v>
      </c>
      <c r="F135">
        <v>6</v>
      </c>
      <c r="G135">
        <v>2</v>
      </c>
      <c r="H135">
        <v>24</v>
      </c>
      <c r="I135">
        <f>H135*G135</f>
        <v>48</v>
      </c>
      <c r="L135" t="s">
        <v>16</v>
      </c>
      <c r="M135" s="1">
        <v>46185</v>
      </c>
    </row>
    <row r="136" spans="1:13" x14ac:dyDescent="0.25">
      <c r="A136" t="s">
        <v>20</v>
      </c>
      <c r="B136" s="1">
        <v>46185</v>
      </c>
      <c r="C136" t="s">
        <v>91</v>
      </c>
      <c r="D136" t="s">
        <v>91</v>
      </c>
      <c r="E136" t="s">
        <v>48</v>
      </c>
      <c r="F136">
        <v>5</v>
      </c>
      <c r="G136">
        <v>250</v>
      </c>
      <c r="H136">
        <v>1</v>
      </c>
      <c r="I136">
        <f>H136*G136</f>
      </c>
      <c r="L136" t="s">
        <v>16</v>
      </c>
      <c r="M136" s="1">
        <v>46183</v>
      </c>
    </row>
    <row r="137" spans="1:13" x14ac:dyDescent="0.25">
      <c r="A137" t="s">
        <v>20</v>
      </c>
      <c r="B137" s="1">
        <v>46186</v>
      </c>
      <c r="C137" t="s">
        <v>91</v>
      </c>
      <c r="D137" t="s">
        <v>91</v>
      </c>
      <c r="E137" t="s">
        <v>48</v>
      </c>
      <c r="F137">
        <v>6</v>
      </c>
      <c r="G137">
        <v>250</v>
      </c>
      <c r="H137">
        <v>1</v>
      </c>
      <c r="I137">
        <f>H137*G137</f>
      </c>
      <c r="L137" t="s">
        <v>16</v>
      </c>
      <c r="M137" s="1">
        <v>46183</v>
      </c>
    </row>
    <row r="138" spans="1:13" x14ac:dyDescent="0.25">
      <c r="A138" t="s">
        <v>13</v>
      </c>
      <c r="B138" s="1">
        <v>46184</v>
      </c>
      <c r="C138" t="s">
        <v>92</v>
      </c>
      <c r="D138" t="s">
        <v>92</v>
      </c>
      <c r="E138" t="s">
        <v>63</v>
      </c>
      <c r="F138">
        <v>4</v>
      </c>
      <c r="G138">
        <v>1</v>
      </c>
      <c r="H138">
        <v>1</v>
      </c>
      <c r="I138">
        <f>H138*G138</f>
        <v>1</v>
      </c>
      <c r="J138" t="s">
        <v>93</v>
      </c>
      <c r="L138" t="s">
        <v>16</v>
      </c>
      <c r="M138" s="1">
        <v>46183</v>
      </c>
    </row>
    <row r="139" spans="1:13" x14ac:dyDescent="0.25">
      <c r="A139" t="s">
        <v>13</v>
      </c>
      <c r="B139" s="1">
        <v>46184</v>
      </c>
      <c r="C139" t="s">
        <v>94</v>
      </c>
      <c r="D139" t="s">
        <v>94</v>
      </c>
      <c r="E139" t="s">
        <v>15</v>
      </c>
      <c r="F139">
        <v>4</v>
      </c>
      <c r="G139">
        <v>140</v>
      </c>
      <c r="H139">
        <v>23</v>
      </c>
      <c r="I139">
        <f>H139*G139</f>
        <v>3220</v>
      </c>
      <c r="L139" t="s">
        <v>16</v>
      </c>
      <c r="M139" s="1">
        <v>46183</v>
      </c>
    </row>
    <row r="140" spans="1:13" x14ac:dyDescent="0.25">
      <c r="A140" t="s">
        <v>17</v>
      </c>
      <c r="B140" s="1">
        <v>46184</v>
      </c>
      <c r="C140" t="s">
        <v>94</v>
      </c>
      <c r="D140" t="s">
        <v>94</v>
      </c>
      <c r="E140" t="s">
        <v>15</v>
      </c>
      <c r="F140">
        <v>4</v>
      </c>
      <c r="G140">
        <v>140</v>
      </c>
      <c r="H140">
        <v>18</v>
      </c>
      <c r="I140">
        <f>H140*G140</f>
        <v>2520</v>
      </c>
      <c r="L140" t="s">
        <v>16</v>
      </c>
      <c r="M140" s="1">
        <v>46183</v>
      </c>
    </row>
    <row r="141" spans="1:13" x14ac:dyDescent="0.25">
      <c r="A141" t="s">
        <v>18</v>
      </c>
      <c r="B141" s="1">
        <v>46192</v>
      </c>
      <c r="C141" t="s">
        <v>94</v>
      </c>
      <c r="D141" t="s">
        <v>94</v>
      </c>
      <c r="E141" t="s">
        <v>15</v>
      </c>
      <c r="F141">
        <v>4</v>
      </c>
      <c r="G141">
        <v>140</v>
      </c>
      <c r="H141">
        <v>6</v>
      </c>
      <c r="I141">
        <f>H141*G141</f>
        <v>840</v>
      </c>
      <c r="K141" t="s">
        <v>16</v>
      </c>
      <c r="M141" s="1">
        <v>46188</v>
      </c>
    </row>
    <row r="142" spans="1:13" x14ac:dyDescent="0.25">
      <c r="A142" t="s">
        <v>19</v>
      </c>
      <c r="B142" s="1">
        <v>46184</v>
      </c>
      <c r="C142" t="s">
        <v>94</v>
      </c>
      <c r="D142" t="s">
        <v>94</v>
      </c>
      <c r="E142" t="s">
        <v>15</v>
      </c>
      <c r="F142">
        <v>4</v>
      </c>
      <c r="G142">
        <v>140</v>
      </c>
      <c r="H142">
        <v>21</v>
      </c>
      <c r="I142">
        <f>H142*G142</f>
        <v>2940</v>
      </c>
      <c r="L142" t="s">
        <v>16</v>
      </c>
      <c r="M142" s="1">
        <v>46183</v>
      </c>
    </row>
    <row r="143" spans="1:13" x14ac:dyDescent="0.25">
      <c r="A143" t="s">
        <v>20</v>
      </c>
      <c r="B143" s="1">
        <v>46184</v>
      </c>
      <c r="C143" t="s">
        <v>94</v>
      </c>
      <c r="D143" t="s">
        <v>94</v>
      </c>
      <c r="E143" t="s">
        <v>15</v>
      </c>
      <c r="F143">
        <v>4</v>
      </c>
      <c r="G143">
        <v>140</v>
      </c>
      <c r="H143">
        <v>1</v>
      </c>
      <c r="I143">
        <f>H143*G143</f>
      </c>
      <c r="L143" t="s">
        <v>16</v>
      </c>
      <c r="M143" s="1">
        <v>46183</v>
      </c>
    </row>
    <row r="144" spans="1:13" x14ac:dyDescent="0.25">
      <c r="A144" t="s">
        <v>21</v>
      </c>
      <c r="B144" s="1">
        <v>46184</v>
      </c>
      <c r="C144" t="s">
        <v>94</v>
      </c>
      <c r="D144" t="s">
        <v>94</v>
      </c>
      <c r="E144" t="s">
        <v>15</v>
      </c>
      <c r="F144">
        <v>4</v>
      </c>
      <c r="G144">
        <v>140</v>
      </c>
      <c r="H144">
        <v>50</v>
      </c>
      <c r="I144">
        <f>H144*G144</f>
        <v>7000</v>
      </c>
      <c r="L144" t="s">
        <v>16</v>
      </c>
      <c r="M144" s="1">
        <v>46183</v>
      </c>
    </row>
    <row r="145" spans="1:13" x14ac:dyDescent="0.25">
      <c r="A145" t="s">
        <v>13</v>
      </c>
      <c r="B145" s="1">
        <v>46184</v>
      </c>
      <c r="C145" t="s">
        <v>95</v>
      </c>
      <c r="D145" t="s">
        <v>95</v>
      </c>
      <c r="E145" t="s">
        <v>63</v>
      </c>
      <c r="F145">
        <v>4</v>
      </c>
      <c r="G145">
        <v>140</v>
      </c>
      <c r="H145">
        <v>1</v>
      </c>
      <c r="I145">
        <f>H145*G145</f>
        <v>140</v>
      </c>
      <c r="J145" t="s">
        <v>96</v>
      </c>
      <c r="L145" t="s">
        <v>16</v>
      </c>
      <c r="M145" s="1">
        <v>46183</v>
      </c>
    </row>
    <row r="146" spans="1:13" x14ac:dyDescent="0.25">
      <c r="A146" t="s">
        <v>13</v>
      </c>
      <c r="B146" s="1">
        <v>46184</v>
      </c>
      <c r="C146" t="s">
        <v>95</v>
      </c>
      <c r="D146" t="s">
        <v>95</v>
      </c>
      <c r="E146" t="s">
        <v>63</v>
      </c>
      <c r="F146">
        <v>4</v>
      </c>
      <c r="G146">
        <v>140</v>
      </c>
      <c r="H146">
        <v>1</v>
      </c>
      <c r="I146">
        <f>H146*G146</f>
        <v>140</v>
      </c>
      <c r="J146" t="s">
        <v>97</v>
      </c>
      <c r="L146" t="s">
        <v>16</v>
      </c>
      <c r="M146" s="1">
        <v>46183</v>
      </c>
    </row>
    <row r="147" spans="1:13" x14ac:dyDescent="0.25">
      <c r="A147" t="s">
        <v>13</v>
      </c>
      <c r="B147" s="1">
        <v>46184</v>
      </c>
      <c r="C147" t="s">
        <v>95</v>
      </c>
      <c r="D147" t="s">
        <v>95</v>
      </c>
      <c r="E147" t="s">
        <v>63</v>
      </c>
      <c r="F147">
        <v>4</v>
      </c>
      <c r="G147">
        <v>140</v>
      </c>
      <c r="H147">
        <v>1</v>
      </c>
      <c r="I147">
        <f>H147*G147</f>
        <v>140</v>
      </c>
      <c r="J147" t="s">
        <v>98</v>
      </c>
      <c r="L147" t="s">
        <v>16</v>
      </c>
      <c r="M147" s="1">
        <v>46183</v>
      </c>
    </row>
    <row r="148" spans="1:13" x14ac:dyDescent="0.25">
      <c r="A148" t="s">
        <v>13</v>
      </c>
      <c r="B148" s="1">
        <v>46184</v>
      </c>
      <c r="C148" t="s">
        <v>95</v>
      </c>
      <c r="D148" t="s">
        <v>95</v>
      </c>
      <c r="E148" t="s">
        <v>63</v>
      </c>
      <c r="F148">
        <v>4</v>
      </c>
      <c r="G148">
        <v>140</v>
      </c>
      <c r="H148">
        <v>1</v>
      </c>
      <c r="I148">
        <f>H148*G148</f>
        <v>140</v>
      </c>
      <c r="J148" t="s">
        <v>99</v>
      </c>
      <c r="L148" t="s">
        <v>16</v>
      </c>
      <c r="M148" s="1">
        <v>46183</v>
      </c>
    </row>
    <row r="149" spans="1:13" x14ac:dyDescent="0.25">
      <c r="A149" t="s">
        <v>20</v>
      </c>
      <c r="B149" s="1">
        <v>46184</v>
      </c>
      <c r="C149" t="s">
        <v>95</v>
      </c>
      <c r="D149" t="s">
        <v>95</v>
      </c>
      <c r="E149" t="s">
        <v>63</v>
      </c>
      <c r="F149">
        <v>4</v>
      </c>
      <c r="G149">
        <v>140</v>
      </c>
      <c r="H149">
        <v>1</v>
      </c>
      <c r="I149">
        <f>H149*G149</f>
      </c>
      <c r="J149" t="s">
        <v>100</v>
      </c>
      <c r="L149" t="s">
        <v>16</v>
      </c>
      <c r="M149" s="1">
        <v>46183</v>
      </c>
    </row>
    <row r="150" spans="1:13" x14ac:dyDescent="0.25">
      <c r="A150" t="s">
        <v>20</v>
      </c>
      <c r="B150" s="1">
        <v>46184</v>
      </c>
      <c r="C150" t="s">
        <v>95</v>
      </c>
      <c r="D150" t="s">
        <v>95</v>
      </c>
      <c r="E150" t="s">
        <v>63</v>
      </c>
      <c r="F150">
        <v>4</v>
      </c>
      <c r="G150">
        <v>140</v>
      </c>
      <c r="H150">
        <v>1</v>
      </c>
      <c r="I150">
        <f>H150*G150</f>
      </c>
      <c r="J150" t="s">
        <v>101</v>
      </c>
      <c r="L150" t="s">
        <v>16</v>
      </c>
      <c r="M150" s="1">
        <v>46183</v>
      </c>
    </row>
    <row r="151" spans="1:13" x14ac:dyDescent="0.25">
      <c r="A151" t="s">
        <v>22</v>
      </c>
      <c r="B151" s="1">
        <v>46182</v>
      </c>
      <c r="C151" t="s">
        <v>102</v>
      </c>
      <c r="D151" t="s">
        <v>102</v>
      </c>
      <c r="E151" t="s">
        <v>24</v>
      </c>
      <c r="F151">
        <v>2</v>
      </c>
      <c r="G151">
        <v>1</v>
      </c>
      <c r="H151">
        <v>24</v>
      </c>
      <c r="I151">
        <f>H151*G151</f>
        <v>24</v>
      </c>
      <c r="L151" t="s">
        <v>16</v>
      </c>
      <c r="M151" s="1">
        <v>46181</v>
      </c>
    </row>
    <row r="152" spans="1:13" x14ac:dyDescent="0.25">
      <c r="A152" t="s">
        <v>20</v>
      </c>
      <c r="B152" s="1">
        <v>46183</v>
      </c>
      <c r="C152" t="s">
        <v>102</v>
      </c>
      <c r="D152" t="s">
        <v>102</v>
      </c>
      <c r="E152" t="s">
        <v>25</v>
      </c>
      <c r="F152">
        <v>3</v>
      </c>
      <c r="G152">
        <v>1</v>
      </c>
      <c r="H152">
        <v>1</v>
      </c>
      <c r="I152">
        <f>H152*G152</f>
      </c>
      <c r="L152" t="s">
        <v>16</v>
      </c>
      <c r="M152" s="1">
        <v>46183</v>
      </c>
    </row>
    <row r="153" spans="1:13" x14ac:dyDescent="0.25">
      <c r="A153" t="s">
        <v>20</v>
      </c>
      <c r="B153" s="1">
        <v>46184</v>
      </c>
      <c r="C153" t="s">
        <v>102</v>
      </c>
      <c r="D153" t="s">
        <v>102</v>
      </c>
      <c r="E153" t="s">
        <v>28</v>
      </c>
      <c r="F153">
        <v>4</v>
      </c>
      <c r="G153">
        <v>1</v>
      </c>
      <c r="H153">
        <v>1</v>
      </c>
      <c r="I153">
        <f>H153*G153</f>
      </c>
      <c r="J153" t="s">
        <v>29</v>
      </c>
      <c r="L153" t="s">
        <v>16</v>
      </c>
      <c r="M153" s="1">
        <v>46183</v>
      </c>
    </row>
    <row r="154" spans="1:13" x14ac:dyDescent="0.25">
      <c r="A154" t="s">
        <v>20</v>
      </c>
      <c r="B154" s="1">
        <v>46184</v>
      </c>
      <c r="C154" t="s">
        <v>102</v>
      </c>
      <c r="D154" t="s">
        <v>102</v>
      </c>
      <c r="E154" t="s">
        <v>28</v>
      </c>
      <c r="F154">
        <v>4</v>
      </c>
      <c r="G154">
        <v>1</v>
      </c>
      <c r="H154">
        <v>1</v>
      </c>
      <c r="I154">
        <f>H154*G154</f>
      </c>
      <c r="J154" t="s">
        <v>30</v>
      </c>
      <c r="L154" t="s">
        <v>16</v>
      </c>
      <c r="M154" s="1">
        <v>46183</v>
      </c>
    </row>
    <row r="155" spans="1:13" x14ac:dyDescent="0.25">
      <c r="A155" t="s">
        <v>20</v>
      </c>
      <c r="B155" s="1">
        <v>46184</v>
      </c>
      <c r="C155" t="s">
        <v>102</v>
      </c>
      <c r="D155" t="s">
        <v>102</v>
      </c>
      <c r="E155" t="s">
        <v>28</v>
      </c>
      <c r="F155">
        <v>4</v>
      </c>
      <c r="G155">
        <v>1</v>
      </c>
      <c r="H155">
        <v>1</v>
      </c>
      <c r="I155">
        <f>H155*G155</f>
      </c>
      <c r="J155" t="s">
        <v>31</v>
      </c>
      <c r="L155" t="s">
        <v>16</v>
      </c>
      <c r="M155" s="1">
        <v>46183</v>
      </c>
    </row>
    <row r="156" spans="1:13" x14ac:dyDescent="0.25">
      <c r="A156" t="s">
        <v>20</v>
      </c>
      <c r="B156" s="1">
        <v>46184</v>
      </c>
      <c r="C156" t="s">
        <v>102</v>
      </c>
      <c r="D156" t="s">
        <v>102</v>
      </c>
      <c r="E156" t="s">
        <v>28</v>
      </c>
      <c r="F156">
        <v>4</v>
      </c>
      <c r="G156">
        <v>1</v>
      </c>
      <c r="H156">
        <v>1</v>
      </c>
      <c r="I156">
        <f>H156*G156</f>
      </c>
      <c r="J156" t="s">
        <v>103</v>
      </c>
      <c r="L156" t="s">
        <v>16</v>
      </c>
      <c r="M156" s="1">
        <v>46183</v>
      </c>
    </row>
    <row r="157" spans="1:13" x14ac:dyDescent="0.25">
      <c r="A157" t="s">
        <v>20</v>
      </c>
      <c r="B157" s="1">
        <v>46184</v>
      </c>
      <c r="C157" t="s">
        <v>102</v>
      </c>
      <c r="D157" t="s">
        <v>102</v>
      </c>
      <c r="E157" t="s">
        <v>28</v>
      </c>
      <c r="F157">
        <v>4</v>
      </c>
      <c r="G157">
        <v>1</v>
      </c>
      <c r="H157">
        <v>1</v>
      </c>
      <c r="I157">
        <f>H157*G157</f>
      </c>
      <c r="J157" t="s">
        <v>32</v>
      </c>
      <c r="L157" t="s">
        <v>16</v>
      </c>
      <c r="M157" s="1">
        <v>46183</v>
      </c>
    </row>
    <row r="158" spans="1:13" x14ac:dyDescent="0.25">
      <c r="A158" t="s">
        <v>20</v>
      </c>
      <c r="B158" s="1">
        <v>46184</v>
      </c>
      <c r="C158" t="s">
        <v>102</v>
      </c>
      <c r="D158" t="s">
        <v>102</v>
      </c>
      <c r="E158" t="s">
        <v>28</v>
      </c>
      <c r="F158">
        <v>4</v>
      </c>
      <c r="G158">
        <v>1</v>
      </c>
      <c r="H158">
        <v>1</v>
      </c>
      <c r="I158">
        <f>H158*G158</f>
      </c>
      <c r="J158" t="s">
        <v>29</v>
      </c>
      <c r="L158" t="s">
        <v>16</v>
      </c>
      <c r="M158" s="1">
        <v>46183</v>
      </c>
    </row>
    <row r="159" spans="1:13" x14ac:dyDescent="0.25">
      <c r="A159" t="s">
        <v>20</v>
      </c>
      <c r="B159" s="1">
        <v>46184</v>
      </c>
      <c r="C159" t="s">
        <v>102</v>
      </c>
      <c r="D159" t="s">
        <v>102</v>
      </c>
      <c r="E159" t="s">
        <v>28</v>
      </c>
      <c r="F159">
        <v>4</v>
      </c>
      <c r="G159">
        <v>1</v>
      </c>
      <c r="H159">
        <v>1</v>
      </c>
      <c r="I159">
        <f>H159*G159</f>
      </c>
      <c r="J159" t="s">
        <v>29</v>
      </c>
      <c r="L159" t="s">
        <v>16</v>
      </c>
      <c r="M159" s="1">
        <v>46183</v>
      </c>
    </row>
    <row r="160" spans="1:13" x14ac:dyDescent="0.25">
      <c r="A160" t="s">
        <v>20</v>
      </c>
      <c r="B160" s="1">
        <v>46184</v>
      </c>
      <c r="C160" t="s">
        <v>102</v>
      </c>
      <c r="D160" t="s">
        <v>102</v>
      </c>
      <c r="E160" t="s">
        <v>28</v>
      </c>
      <c r="F160">
        <v>4</v>
      </c>
      <c r="G160">
        <v>1</v>
      </c>
      <c r="H160">
        <v>1</v>
      </c>
      <c r="I160">
        <f>H160*G160</f>
      </c>
      <c r="J160" t="s">
        <v>29</v>
      </c>
      <c r="L160" t="s">
        <v>16</v>
      </c>
      <c r="M160" s="1">
        <v>46183</v>
      </c>
    </row>
    <row r="161" spans="1:13" x14ac:dyDescent="0.25">
      <c r="A161" t="s">
        <v>13</v>
      </c>
      <c r="B161" s="1">
        <v>46183</v>
      </c>
      <c r="C161" t="s">
        <v>104</v>
      </c>
      <c r="D161" t="s">
        <v>104</v>
      </c>
      <c r="E161" t="s">
        <v>15</v>
      </c>
      <c r="F161">
        <v>3</v>
      </c>
      <c r="G161" s="4">
        <f>1/17</f>
        <v>0.058823529411764705</v>
      </c>
      <c r="H161">
        <v>27</v>
      </c>
      <c r="I161" s="2">
        <f>H161*G161</f>
        <v>1.588235294117647</v>
      </c>
      <c r="L161" t="s">
        <v>16</v>
      </c>
      <c r="M161" s="1">
        <v>46183</v>
      </c>
    </row>
    <row r="162" spans="1:13" x14ac:dyDescent="0.25">
      <c r="A162" t="s">
        <v>17</v>
      </c>
      <c r="B162" s="1">
        <v>46183</v>
      </c>
      <c r="C162" t="s">
        <v>104</v>
      </c>
      <c r="D162" t="s">
        <v>104</v>
      </c>
      <c r="E162" t="s">
        <v>15</v>
      </c>
      <c r="F162">
        <v>3</v>
      </c>
      <c r="G162" s="4">
        <f>1/17</f>
        <v>0.058823529411764705</v>
      </c>
      <c r="H162">
        <v>20</v>
      </c>
      <c r="I162" s="2">
        <f>H162*G162</f>
        <v>1.1764705882352942</v>
      </c>
      <c r="L162" t="s">
        <v>16</v>
      </c>
      <c r="M162" s="1">
        <v>46183</v>
      </c>
    </row>
    <row r="163" spans="1:13" x14ac:dyDescent="0.25">
      <c r="A163" t="s">
        <v>18</v>
      </c>
      <c r="B163" s="1">
        <v>46191</v>
      </c>
      <c r="C163" t="s">
        <v>104</v>
      </c>
      <c r="D163" t="s">
        <v>104</v>
      </c>
      <c r="E163" t="s">
        <v>15</v>
      </c>
      <c r="F163">
        <v>3</v>
      </c>
      <c r="G163" s="4">
        <v>0.058823529411764705</v>
      </c>
      <c r="H163">
        <v>9</v>
      </c>
      <c r="I163" s="2">
        <f>H163*G163</f>
        <v>0.5294117647058824</v>
      </c>
      <c r="L163" t="s">
        <v>16</v>
      </c>
      <c r="M163" s="1">
        <v>46188</v>
      </c>
    </row>
    <row r="164" spans="1:13" x14ac:dyDescent="0.25">
      <c r="A164" t="s">
        <v>19</v>
      </c>
      <c r="B164" s="1">
        <v>46183</v>
      </c>
      <c r="C164" t="s">
        <v>104</v>
      </c>
      <c r="D164" t="s">
        <v>104</v>
      </c>
      <c r="E164" t="s">
        <v>15</v>
      </c>
      <c r="F164">
        <v>3</v>
      </c>
      <c r="G164" s="4">
        <f>1/17</f>
        <v>0.058823529411764705</v>
      </c>
      <c r="H164">
        <v>1</v>
      </c>
      <c r="I164" s="2">
        <f>H164*G164</f>
      </c>
      <c r="L164" t="s">
        <v>16</v>
      </c>
      <c r="M164" s="1">
        <v>46183</v>
      </c>
    </row>
    <row r="165" spans="1:13" x14ac:dyDescent="0.25">
      <c r="A165" t="s">
        <v>20</v>
      </c>
      <c r="B165" s="1">
        <v>46183</v>
      </c>
      <c r="C165" t="s">
        <v>104</v>
      </c>
      <c r="D165" t="s">
        <v>104</v>
      </c>
      <c r="E165" t="s">
        <v>15</v>
      </c>
      <c r="F165">
        <v>3</v>
      </c>
      <c r="G165" s="4">
        <v>0.058823529411764705</v>
      </c>
      <c r="H165">
        <v>1</v>
      </c>
      <c r="I165" s="2">
        <f>H165*G165</f>
      </c>
      <c r="J165" t="s">
        <v>105</v>
      </c>
      <c r="L165" t="s">
        <v>16</v>
      </c>
      <c r="M165" s="1">
        <v>46183</v>
      </c>
    </row>
    <row r="166" spans="1:13" x14ac:dyDescent="0.25">
      <c r="A166" t="s">
        <v>21</v>
      </c>
      <c r="B166" s="1">
        <v>46183</v>
      </c>
      <c r="C166" t="s">
        <v>104</v>
      </c>
      <c r="D166" t="s">
        <v>104</v>
      </c>
      <c r="E166" t="s">
        <v>15</v>
      </c>
      <c r="F166">
        <v>3</v>
      </c>
      <c r="G166" s="4">
        <f>1/17</f>
        <v>0.058823529411764705</v>
      </c>
      <c r="H166">
        <v>50</v>
      </c>
      <c r="I166" s="2">
        <f>H166*G166</f>
        <v>2.941176470588235</v>
      </c>
      <c r="L166" t="s">
        <v>16</v>
      </c>
      <c r="M166" s="1">
        <v>46183</v>
      </c>
    </row>
    <row r="167" spans="1:13" x14ac:dyDescent="0.25">
      <c r="A167" t="s">
        <v>42</v>
      </c>
      <c r="B167" s="1">
        <v>46179</v>
      </c>
      <c r="C167" t="s">
        <v>106</v>
      </c>
      <c r="D167" t="s">
        <v>106</v>
      </c>
      <c r="E167" t="s">
        <v>15</v>
      </c>
      <c r="F167">
        <v>6</v>
      </c>
      <c r="G167">
        <v>0.08333333333333333</v>
      </c>
      <c r="H167">
        <v>23</v>
      </c>
      <c r="I167">
        <v>2</v>
      </c>
      <c r="L167" t="s">
        <v>16</v>
      </c>
      <c r="M167" s="1">
        <v>46178</v>
      </c>
    </row>
    <row r="168" spans="1:13" x14ac:dyDescent="0.25">
      <c r="A168" t="s">
        <v>43</v>
      </c>
      <c r="B168" s="1">
        <v>46179</v>
      </c>
      <c r="C168" t="s">
        <v>106</v>
      </c>
      <c r="D168" t="s">
        <v>106</v>
      </c>
      <c r="E168" t="s">
        <v>15</v>
      </c>
      <c r="F168">
        <v>6</v>
      </c>
      <c r="G168">
        <v>0.08333333333333333</v>
      </c>
      <c r="H168">
        <v>24</v>
      </c>
      <c r="I168">
        <v>2</v>
      </c>
      <c r="L168" t="s">
        <v>16</v>
      </c>
      <c r="M168" s="1">
        <v>46178</v>
      </c>
    </row>
    <row r="169" spans="1:13" x14ac:dyDescent="0.25">
      <c r="A169" t="s">
        <v>44</v>
      </c>
      <c r="B169" s="1">
        <v>46179</v>
      </c>
      <c r="C169" t="s">
        <v>106</v>
      </c>
      <c r="D169" t="s">
        <v>106</v>
      </c>
      <c r="E169" t="s">
        <v>15</v>
      </c>
      <c r="F169">
        <v>6</v>
      </c>
      <c r="G169">
        <v>0.08333333333333333</v>
      </c>
      <c r="H169">
        <v>14</v>
      </c>
      <c r="I169">
        <v>2</v>
      </c>
      <c r="L169" t="s">
        <v>16</v>
      </c>
      <c r="M169" s="1">
        <v>46178</v>
      </c>
    </row>
    <row r="170" spans="1:13" x14ac:dyDescent="0.25">
      <c r="A170" t="s">
        <v>45</v>
      </c>
      <c r="B170" s="1">
        <v>46179</v>
      </c>
      <c r="C170" t="s">
        <v>106</v>
      </c>
      <c r="D170" t="s">
        <v>106</v>
      </c>
      <c r="E170" t="s">
        <v>15</v>
      </c>
      <c r="F170">
        <v>6</v>
      </c>
      <c r="G170">
        <v>0.08333333333333333</v>
      </c>
      <c r="H170">
        <v>16</v>
      </c>
      <c r="I170">
        <v>2</v>
      </c>
      <c r="L170" t="s">
        <v>16</v>
      </c>
      <c r="M170" s="1">
        <v>46178</v>
      </c>
    </row>
    <row r="171" spans="1:13" x14ac:dyDescent="0.25">
      <c r="A171" t="s">
        <v>19</v>
      </c>
      <c r="B171" s="1">
        <v>46185</v>
      </c>
      <c r="C171" t="s">
        <v>107</v>
      </c>
      <c r="D171" t="s">
        <v>107</v>
      </c>
      <c r="E171" t="s">
        <v>15</v>
      </c>
      <c r="F171">
        <v>5</v>
      </c>
      <c r="G171">
        <v>300</v>
      </c>
      <c r="H171">
        <v>1</v>
      </c>
      <c r="I171">
        <f>H171*G171</f>
        <v>300</v>
      </c>
      <c r="J171" t="s">
        <v>108</v>
      </c>
      <c r="L171" t="s">
        <v>16</v>
      </c>
      <c r="M171" s="1">
        <v>46183</v>
      </c>
    </row>
    <row r="172" spans="1:13" x14ac:dyDescent="0.25">
      <c r="A172" t="s">
        <v>20</v>
      </c>
      <c r="B172" s="1">
        <v>46185</v>
      </c>
      <c r="C172" t="s">
        <v>107</v>
      </c>
      <c r="D172" t="s">
        <v>107</v>
      </c>
      <c r="E172" t="s">
        <v>63</v>
      </c>
      <c r="F172">
        <v>5</v>
      </c>
      <c r="G172">
        <v>300</v>
      </c>
      <c r="H172">
        <v>1</v>
      </c>
      <c r="I172">
        <f>H172*G172</f>
      </c>
      <c r="J172" t="s">
        <v>56</v>
      </c>
      <c r="L172" t="s">
        <v>16</v>
      </c>
      <c r="M172" s="1">
        <v>46183</v>
      </c>
    </row>
    <row r="173" spans="1:13" x14ac:dyDescent="0.25">
      <c r="A173" t="s">
        <v>21</v>
      </c>
      <c r="B173" s="1">
        <v>46185</v>
      </c>
      <c r="C173" t="s">
        <v>107</v>
      </c>
      <c r="D173" t="s">
        <v>107</v>
      </c>
      <c r="E173" t="s">
        <v>63</v>
      </c>
      <c r="F173">
        <v>5</v>
      </c>
      <c r="G173">
        <v>300</v>
      </c>
      <c r="H173">
        <v>1</v>
      </c>
      <c r="I173">
        <f>H173*G173</f>
        <v>300</v>
      </c>
      <c r="J173" t="s">
        <v>109</v>
      </c>
      <c r="L173" t="s">
        <v>16</v>
      </c>
      <c r="M173" s="1">
        <v>46183</v>
      </c>
    </row>
    <row r="174" spans="1:13" x14ac:dyDescent="0.25">
      <c r="A174" t="s">
        <v>21</v>
      </c>
      <c r="B174" s="1">
        <v>46185</v>
      </c>
      <c r="C174" t="s">
        <v>107</v>
      </c>
      <c r="D174" t="s">
        <v>107</v>
      </c>
      <c r="E174" t="s">
        <v>63</v>
      </c>
      <c r="F174">
        <v>5</v>
      </c>
      <c r="G174">
        <v>300</v>
      </c>
      <c r="H174">
        <v>1</v>
      </c>
      <c r="I174">
        <f>H174*G174</f>
        <v>300</v>
      </c>
      <c r="J174" t="s">
        <v>110</v>
      </c>
      <c r="L174" t="s">
        <v>16</v>
      </c>
      <c r="M174" s="1">
        <v>46183</v>
      </c>
    </row>
    <row r="175" spans="1:13" x14ac:dyDescent="0.25">
      <c r="A175" t="s">
        <v>42</v>
      </c>
      <c r="B175" s="1">
        <v>46179</v>
      </c>
      <c r="C175" t="s">
        <v>111</v>
      </c>
      <c r="D175" t="s">
        <v>111</v>
      </c>
      <c r="E175" t="s">
        <v>15</v>
      </c>
      <c r="F175">
        <v>6</v>
      </c>
      <c r="G175">
        <v>325</v>
      </c>
      <c r="H175">
        <v>23</v>
      </c>
      <c r="I175">
        <v>7475</v>
      </c>
      <c r="L175" t="s">
        <v>16</v>
      </c>
      <c r="M175" s="1">
        <v>46178</v>
      </c>
    </row>
    <row r="176" spans="1:13" x14ac:dyDescent="0.25">
      <c r="A176" t="s">
        <v>20</v>
      </c>
      <c r="B176" s="1">
        <v>46181</v>
      </c>
      <c r="C176" t="s">
        <v>111</v>
      </c>
      <c r="D176" t="s">
        <v>111</v>
      </c>
      <c r="E176" t="s">
        <v>55</v>
      </c>
      <c r="F176">
        <v>1</v>
      </c>
      <c r="G176">
        <v>250</v>
      </c>
      <c r="H176">
        <v>1</v>
      </c>
      <c r="I176">
        <f>H176*G176</f>
        <v>250</v>
      </c>
      <c r="J176" t="s">
        <v>112</v>
      </c>
      <c r="L176" t="s">
        <v>16</v>
      </c>
      <c r="M176" s="1">
        <v>46181</v>
      </c>
    </row>
    <row r="177" spans="1:13" x14ac:dyDescent="0.25">
      <c r="A177" t="s">
        <v>20</v>
      </c>
      <c r="B177" s="1">
        <v>46181</v>
      </c>
      <c r="C177" t="s">
        <v>111</v>
      </c>
      <c r="D177" t="s">
        <v>111</v>
      </c>
      <c r="E177" t="s">
        <v>55</v>
      </c>
      <c r="F177">
        <v>1</v>
      </c>
      <c r="G177">
        <v>250</v>
      </c>
      <c r="H177">
        <v>1</v>
      </c>
      <c r="I177">
        <f>H177*G177</f>
        <v>250</v>
      </c>
      <c r="J177" t="s">
        <v>113</v>
      </c>
      <c r="L177" t="s">
        <v>16</v>
      </c>
      <c r="M177" s="1">
        <v>46181</v>
      </c>
    </row>
    <row r="178" spans="1:13" x14ac:dyDescent="0.25">
      <c r="A178" t="s">
        <v>20</v>
      </c>
      <c r="B178" s="1">
        <v>46182</v>
      </c>
      <c r="C178" t="s">
        <v>111</v>
      </c>
      <c r="D178" t="s">
        <v>111</v>
      </c>
      <c r="E178" t="s">
        <v>55</v>
      </c>
      <c r="F178">
        <v>2</v>
      </c>
      <c r="G178">
        <v>250</v>
      </c>
      <c r="H178">
        <v>1</v>
      </c>
      <c r="I178">
        <f>H178*G178</f>
        <v>250</v>
      </c>
      <c r="J178" t="s">
        <v>29</v>
      </c>
      <c r="L178" t="s">
        <v>16</v>
      </c>
      <c r="M178" s="1">
        <v>46181</v>
      </c>
    </row>
    <row r="179" spans="1:13" x14ac:dyDescent="0.25">
      <c r="A179" t="s">
        <v>20</v>
      </c>
      <c r="B179" s="1">
        <v>46182</v>
      </c>
      <c r="C179" t="s">
        <v>111</v>
      </c>
      <c r="D179" t="s">
        <v>111</v>
      </c>
      <c r="E179" t="s">
        <v>55</v>
      </c>
      <c r="F179">
        <v>2</v>
      </c>
      <c r="G179">
        <v>250</v>
      </c>
      <c r="H179">
        <v>1</v>
      </c>
      <c r="I179">
        <f>H179*G179</f>
        <v>250</v>
      </c>
      <c r="J179" t="s">
        <v>30</v>
      </c>
      <c r="L179" t="s">
        <v>16</v>
      </c>
      <c r="M179" s="1">
        <v>46181</v>
      </c>
    </row>
    <row r="180" spans="1:13" x14ac:dyDescent="0.25">
      <c r="A180" t="s">
        <v>20</v>
      </c>
      <c r="B180" s="1">
        <v>46182</v>
      </c>
      <c r="C180" t="s">
        <v>111</v>
      </c>
      <c r="D180" t="s">
        <v>111</v>
      </c>
      <c r="E180" t="s">
        <v>55</v>
      </c>
      <c r="F180">
        <v>2</v>
      </c>
      <c r="G180">
        <v>250</v>
      </c>
      <c r="H180">
        <v>1</v>
      </c>
      <c r="I180">
        <f>H180*G180</f>
        <v>250</v>
      </c>
      <c r="J180" t="s">
        <v>31</v>
      </c>
      <c r="L180" t="s">
        <v>16</v>
      </c>
      <c r="M180" s="1">
        <v>46181</v>
      </c>
    </row>
    <row r="181" spans="1:13" x14ac:dyDescent="0.25">
      <c r="A181" t="s">
        <v>20</v>
      </c>
      <c r="B181" s="1">
        <v>46182</v>
      </c>
      <c r="C181" t="s">
        <v>111</v>
      </c>
      <c r="D181" t="s">
        <v>111</v>
      </c>
      <c r="E181" t="s">
        <v>55</v>
      </c>
      <c r="F181">
        <v>2</v>
      </c>
      <c r="G181">
        <v>250</v>
      </c>
      <c r="H181">
        <v>1</v>
      </c>
      <c r="I181">
        <f>H181*G181</f>
        <v>250</v>
      </c>
      <c r="J181" t="s">
        <v>32</v>
      </c>
      <c r="L181" t="s">
        <v>16</v>
      </c>
      <c r="M181" s="1">
        <v>46181</v>
      </c>
    </row>
    <row r="182" spans="1:13" x14ac:dyDescent="0.25">
      <c r="A182" t="s">
        <v>20</v>
      </c>
      <c r="B182" s="1">
        <v>46182</v>
      </c>
      <c r="C182" t="s">
        <v>111</v>
      </c>
      <c r="D182" t="s">
        <v>111</v>
      </c>
      <c r="E182" t="s">
        <v>55</v>
      </c>
      <c r="F182">
        <v>2</v>
      </c>
      <c r="G182">
        <v>250</v>
      </c>
      <c r="H182">
        <v>1</v>
      </c>
      <c r="I182">
        <f>H182*G182</f>
        <v>250</v>
      </c>
      <c r="J182" t="s">
        <v>33</v>
      </c>
      <c r="L182" t="s">
        <v>16</v>
      </c>
      <c r="M182" s="1">
        <v>46181</v>
      </c>
    </row>
    <row r="183" spans="1:13" x14ac:dyDescent="0.25">
      <c r="A183" t="s">
        <v>20</v>
      </c>
      <c r="B183" s="1">
        <v>46182</v>
      </c>
      <c r="C183" t="s">
        <v>111</v>
      </c>
      <c r="D183" t="s">
        <v>111</v>
      </c>
      <c r="E183" t="s">
        <v>55</v>
      </c>
      <c r="F183">
        <v>2</v>
      </c>
      <c r="G183">
        <v>250</v>
      </c>
      <c r="H183">
        <v>1</v>
      </c>
      <c r="I183">
        <f>H183*G183</f>
        <v>250</v>
      </c>
      <c r="J183" t="s">
        <v>34</v>
      </c>
      <c r="L183" t="s">
        <v>16</v>
      </c>
      <c r="M183" s="1">
        <v>46181</v>
      </c>
    </row>
    <row r="184" spans="1:13" x14ac:dyDescent="0.25">
      <c r="A184" t="s">
        <v>20</v>
      </c>
      <c r="B184" s="1">
        <v>46182</v>
      </c>
      <c r="C184" t="s">
        <v>111</v>
      </c>
      <c r="D184" t="s">
        <v>111</v>
      </c>
      <c r="E184" t="s">
        <v>55</v>
      </c>
      <c r="F184">
        <v>2</v>
      </c>
      <c r="G184">
        <v>250</v>
      </c>
      <c r="H184">
        <v>1</v>
      </c>
      <c r="I184">
        <f>H184*G184</f>
        <v>250</v>
      </c>
      <c r="J184" t="s">
        <v>29</v>
      </c>
      <c r="L184" t="s">
        <v>16</v>
      </c>
      <c r="M184" s="1">
        <v>46181</v>
      </c>
    </row>
    <row r="185" spans="1:13" x14ac:dyDescent="0.25">
      <c r="A185" t="s">
        <v>20</v>
      </c>
      <c r="B185" s="1">
        <v>46182</v>
      </c>
      <c r="C185" t="s">
        <v>111</v>
      </c>
      <c r="D185" t="s">
        <v>111</v>
      </c>
      <c r="E185" t="s">
        <v>55</v>
      </c>
      <c r="F185">
        <v>2</v>
      </c>
      <c r="G185">
        <v>250</v>
      </c>
      <c r="H185">
        <v>1</v>
      </c>
      <c r="I185">
        <f>H185*G185</f>
        <v>250</v>
      </c>
      <c r="J185" t="s">
        <v>29</v>
      </c>
      <c r="L185" t="s">
        <v>16</v>
      </c>
      <c r="M185" s="1">
        <v>46181</v>
      </c>
    </row>
    <row r="186" spans="1:13" x14ac:dyDescent="0.25">
      <c r="A186" t="s">
        <v>20</v>
      </c>
      <c r="B186" s="1">
        <v>46183</v>
      </c>
      <c r="C186" t="s">
        <v>111</v>
      </c>
      <c r="D186" t="s">
        <v>111</v>
      </c>
      <c r="E186" t="s">
        <v>55</v>
      </c>
      <c r="F186">
        <v>3</v>
      </c>
      <c r="G186">
        <v>250</v>
      </c>
      <c r="H186">
        <v>1</v>
      </c>
      <c r="I186">
        <f>H186*G186</f>
      </c>
      <c r="J186" t="s">
        <v>29</v>
      </c>
      <c r="L186" t="s">
        <v>16</v>
      </c>
      <c r="M186" s="1">
        <v>46183</v>
      </c>
    </row>
    <row r="187" spans="1:13" x14ac:dyDescent="0.25">
      <c r="A187" t="s">
        <v>20</v>
      </c>
      <c r="B187" s="1">
        <v>46183</v>
      </c>
      <c r="C187" t="s">
        <v>111</v>
      </c>
      <c r="D187" t="s">
        <v>111</v>
      </c>
      <c r="E187" t="s">
        <v>55</v>
      </c>
      <c r="F187">
        <v>3</v>
      </c>
      <c r="G187">
        <v>250</v>
      </c>
      <c r="H187">
        <v>1</v>
      </c>
      <c r="I187">
        <f>H187*G187</f>
      </c>
      <c r="J187" t="s">
        <v>64</v>
      </c>
      <c r="L187" t="s">
        <v>16</v>
      </c>
      <c r="M187" s="1">
        <v>46183</v>
      </c>
    </row>
    <row r="188" spans="1:13" x14ac:dyDescent="0.25">
      <c r="A188" t="s">
        <v>20</v>
      </c>
      <c r="B188" s="1">
        <v>46183</v>
      </c>
      <c r="C188" t="s">
        <v>111</v>
      </c>
      <c r="D188" t="s">
        <v>111</v>
      </c>
      <c r="E188" t="s">
        <v>55</v>
      </c>
      <c r="F188">
        <v>3</v>
      </c>
      <c r="G188">
        <v>250</v>
      </c>
      <c r="H188">
        <v>1</v>
      </c>
      <c r="I188">
        <f>H188*G188</f>
      </c>
      <c r="J188" t="s">
        <v>31</v>
      </c>
      <c r="L188" t="s">
        <v>16</v>
      </c>
      <c r="M188" s="1">
        <v>46183</v>
      </c>
    </row>
    <row r="189" spans="1:13" x14ac:dyDescent="0.25">
      <c r="A189" t="s">
        <v>20</v>
      </c>
      <c r="B189" s="1">
        <v>46183</v>
      </c>
      <c r="C189" t="s">
        <v>111</v>
      </c>
      <c r="D189" t="s">
        <v>111</v>
      </c>
      <c r="E189" t="s">
        <v>55</v>
      </c>
      <c r="F189">
        <v>3</v>
      </c>
      <c r="G189">
        <v>250</v>
      </c>
      <c r="H189">
        <v>1</v>
      </c>
      <c r="I189">
        <f>H189*G189</f>
      </c>
      <c r="J189" t="s">
        <v>114</v>
      </c>
      <c r="L189" t="s">
        <v>16</v>
      </c>
      <c r="M189" s="1">
        <v>46183</v>
      </c>
    </row>
    <row r="190" spans="1:13" x14ac:dyDescent="0.25">
      <c r="A190" t="s">
        <v>20</v>
      </c>
      <c r="B190" s="1">
        <v>46183</v>
      </c>
      <c r="C190" t="s">
        <v>111</v>
      </c>
      <c r="D190" t="s">
        <v>111</v>
      </c>
      <c r="E190" t="s">
        <v>55</v>
      </c>
      <c r="F190">
        <v>3</v>
      </c>
      <c r="G190">
        <v>250</v>
      </c>
      <c r="H190">
        <v>1</v>
      </c>
      <c r="I190">
        <f>H190*G190</f>
      </c>
      <c r="J190" t="s">
        <v>32</v>
      </c>
      <c r="L190" t="s">
        <v>16</v>
      </c>
      <c r="M190" s="1">
        <v>46183</v>
      </c>
    </row>
    <row r="191" spans="1:13" x14ac:dyDescent="0.25">
      <c r="A191" t="s">
        <v>20</v>
      </c>
      <c r="B191" s="1">
        <v>46183</v>
      </c>
      <c r="C191" t="s">
        <v>111</v>
      </c>
      <c r="D191" t="s">
        <v>111</v>
      </c>
      <c r="E191" t="s">
        <v>55</v>
      </c>
      <c r="F191">
        <v>3</v>
      </c>
      <c r="G191">
        <v>250</v>
      </c>
      <c r="H191">
        <v>1</v>
      </c>
      <c r="I191">
        <f>H191*G191</f>
      </c>
      <c r="J191" t="s">
        <v>29</v>
      </c>
      <c r="L191" t="s">
        <v>16</v>
      </c>
      <c r="M191" s="1">
        <v>46183</v>
      </c>
    </row>
    <row r="192" spans="1:13" x14ac:dyDescent="0.25">
      <c r="A192" t="s">
        <v>20</v>
      </c>
      <c r="B192" s="1">
        <v>46183</v>
      </c>
      <c r="C192" t="s">
        <v>111</v>
      </c>
      <c r="D192" t="s">
        <v>111</v>
      </c>
      <c r="E192" t="s">
        <v>55</v>
      </c>
      <c r="F192">
        <v>3</v>
      </c>
      <c r="G192">
        <v>250</v>
      </c>
      <c r="H192">
        <v>1</v>
      </c>
      <c r="I192">
        <f>H192*G192</f>
      </c>
      <c r="J192" t="s">
        <v>114</v>
      </c>
      <c r="L192" t="s">
        <v>16</v>
      </c>
      <c r="M192" s="1">
        <v>46183</v>
      </c>
    </row>
    <row r="193" spans="1:13" x14ac:dyDescent="0.25">
      <c r="A193" t="s">
        <v>20</v>
      </c>
      <c r="B193" s="1">
        <v>46183</v>
      </c>
      <c r="C193" t="s">
        <v>111</v>
      </c>
      <c r="D193" t="s">
        <v>111</v>
      </c>
      <c r="E193" t="s">
        <v>55</v>
      </c>
      <c r="F193">
        <v>3</v>
      </c>
      <c r="G193">
        <v>250</v>
      </c>
      <c r="H193">
        <v>1</v>
      </c>
      <c r="I193">
        <f>H193*G193</f>
      </c>
      <c r="J193" t="s">
        <v>29</v>
      </c>
      <c r="L193" t="s">
        <v>16</v>
      </c>
      <c r="M193" s="1">
        <v>46183</v>
      </c>
    </row>
    <row r="194" spans="1:13" x14ac:dyDescent="0.25">
      <c r="A194" t="s">
        <v>20</v>
      </c>
      <c r="B194" s="1">
        <v>46183</v>
      </c>
      <c r="C194" t="s">
        <v>111</v>
      </c>
      <c r="D194" t="s">
        <v>111</v>
      </c>
      <c r="E194" t="s">
        <v>55</v>
      </c>
      <c r="F194">
        <v>3</v>
      </c>
      <c r="G194">
        <v>250</v>
      </c>
      <c r="H194">
        <v>1</v>
      </c>
      <c r="I194">
        <f>H194*G194</f>
      </c>
      <c r="J194" t="s">
        <v>29</v>
      </c>
      <c r="L194" t="s">
        <v>16</v>
      </c>
      <c r="M194" s="1">
        <v>46183</v>
      </c>
    </row>
    <row r="195" spans="1:13" x14ac:dyDescent="0.25">
      <c r="A195" t="s">
        <v>20</v>
      </c>
      <c r="B195" s="1">
        <v>46184</v>
      </c>
      <c r="C195" t="s">
        <v>111</v>
      </c>
      <c r="D195" t="s">
        <v>111</v>
      </c>
      <c r="E195" t="s">
        <v>55</v>
      </c>
      <c r="F195">
        <v>4</v>
      </c>
      <c r="G195">
        <v>250</v>
      </c>
      <c r="H195">
        <v>1</v>
      </c>
      <c r="I195">
        <f>H195*G195</f>
      </c>
      <c r="J195" t="s">
        <v>29</v>
      </c>
      <c r="L195" t="s">
        <v>16</v>
      </c>
      <c r="M195" s="1">
        <v>46183</v>
      </c>
    </row>
    <row r="196" spans="1:13" x14ac:dyDescent="0.25">
      <c r="A196" t="s">
        <v>20</v>
      </c>
      <c r="B196" s="1">
        <v>46184</v>
      </c>
      <c r="C196" t="s">
        <v>111</v>
      </c>
      <c r="D196" t="s">
        <v>111</v>
      </c>
      <c r="E196" t="s">
        <v>55</v>
      </c>
      <c r="F196">
        <v>4</v>
      </c>
      <c r="G196">
        <v>250</v>
      </c>
      <c r="H196">
        <v>1</v>
      </c>
      <c r="I196">
        <f>H196*G196</f>
      </c>
      <c r="J196" t="s">
        <v>30</v>
      </c>
      <c r="L196" t="s">
        <v>16</v>
      </c>
      <c r="M196" s="1">
        <v>46183</v>
      </c>
    </row>
    <row r="197" spans="1:13" x14ac:dyDescent="0.25">
      <c r="A197" t="s">
        <v>20</v>
      </c>
      <c r="B197" s="1">
        <v>46184</v>
      </c>
      <c r="C197" t="s">
        <v>111</v>
      </c>
      <c r="D197" t="s">
        <v>111</v>
      </c>
      <c r="E197" t="s">
        <v>55</v>
      </c>
      <c r="F197">
        <v>4</v>
      </c>
      <c r="G197">
        <v>250</v>
      </c>
      <c r="H197">
        <v>1</v>
      </c>
      <c r="I197">
        <f>H197*G197</f>
      </c>
      <c r="J197" t="s">
        <v>64</v>
      </c>
      <c r="L197" t="s">
        <v>16</v>
      </c>
      <c r="M197" s="1">
        <v>46183</v>
      </c>
    </row>
    <row r="198" spans="1:13" x14ac:dyDescent="0.25">
      <c r="A198" t="s">
        <v>20</v>
      </c>
      <c r="B198" s="1">
        <v>46184</v>
      </c>
      <c r="C198" t="s">
        <v>111</v>
      </c>
      <c r="D198" t="s">
        <v>111</v>
      </c>
      <c r="E198" t="s">
        <v>55</v>
      </c>
      <c r="F198">
        <v>4</v>
      </c>
      <c r="G198">
        <v>250</v>
      </c>
      <c r="H198">
        <v>1</v>
      </c>
      <c r="I198">
        <f>H198*G198</f>
      </c>
      <c r="J198" t="s">
        <v>31</v>
      </c>
      <c r="L198" t="s">
        <v>16</v>
      </c>
      <c r="M198" s="1">
        <v>46183</v>
      </c>
    </row>
    <row r="199" spans="1:13" x14ac:dyDescent="0.25">
      <c r="A199" t="s">
        <v>20</v>
      </c>
      <c r="B199" s="1">
        <v>46184</v>
      </c>
      <c r="C199" t="s">
        <v>111</v>
      </c>
      <c r="D199" t="s">
        <v>111</v>
      </c>
      <c r="E199" t="s">
        <v>55</v>
      </c>
      <c r="F199">
        <v>4</v>
      </c>
      <c r="G199">
        <v>250</v>
      </c>
      <c r="H199">
        <v>1</v>
      </c>
      <c r="I199">
        <f>H199*G199</f>
      </c>
      <c r="J199" t="s">
        <v>103</v>
      </c>
      <c r="L199" t="s">
        <v>16</v>
      </c>
      <c r="M199" s="1">
        <v>46183</v>
      </c>
    </row>
    <row r="200" spans="1:13" x14ac:dyDescent="0.25">
      <c r="A200" t="s">
        <v>20</v>
      </c>
      <c r="B200" s="1">
        <v>46184</v>
      </c>
      <c r="C200" t="s">
        <v>111</v>
      </c>
      <c r="D200" t="s">
        <v>111</v>
      </c>
      <c r="E200" t="s">
        <v>55</v>
      </c>
      <c r="F200">
        <v>4</v>
      </c>
      <c r="G200">
        <v>250</v>
      </c>
      <c r="H200">
        <v>1</v>
      </c>
      <c r="I200">
        <f>H200*G200</f>
      </c>
      <c r="J200" t="s">
        <v>32</v>
      </c>
      <c r="L200" t="s">
        <v>16</v>
      </c>
      <c r="M200" s="1">
        <v>46183</v>
      </c>
    </row>
    <row r="201" spans="1:13" x14ac:dyDescent="0.25">
      <c r="A201" t="s">
        <v>20</v>
      </c>
      <c r="B201" s="1">
        <v>46184</v>
      </c>
      <c r="C201" t="s">
        <v>111</v>
      </c>
      <c r="D201" t="s">
        <v>111</v>
      </c>
      <c r="E201" t="s">
        <v>55</v>
      </c>
      <c r="F201">
        <v>4</v>
      </c>
      <c r="G201">
        <v>250</v>
      </c>
      <c r="H201">
        <v>1</v>
      </c>
      <c r="I201">
        <f>H201*G201</f>
      </c>
      <c r="J201" t="s">
        <v>29</v>
      </c>
      <c r="L201" t="s">
        <v>16</v>
      </c>
      <c r="M201" s="1">
        <v>46183</v>
      </c>
    </row>
    <row r="202" spans="1:13" x14ac:dyDescent="0.25">
      <c r="A202" t="s">
        <v>20</v>
      </c>
      <c r="B202" s="1">
        <v>46184</v>
      </c>
      <c r="C202" t="s">
        <v>111</v>
      </c>
      <c r="D202" t="s">
        <v>111</v>
      </c>
      <c r="E202" t="s">
        <v>55</v>
      </c>
      <c r="F202">
        <v>4</v>
      </c>
      <c r="G202">
        <v>250</v>
      </c>
      <c r="H202">
        <v>1</v>
      </c>
      <c r="I202">
        <f>H202*G202</f>
      </c>
      <c r="J202" t="s">
        <v>29</v>
      </c>
      <c r="L202" t="s">
        <v>16</v>
      </c>
      <c r="M202" s="1">
        <v>46183</v>
      </c>
    </row>
    <row r="203" spans="1:13" x14ac:dyDescent="0.25">
      <c r="A203" t="s">
        <v>20</v>
      </c>
      <c r="B203" s="1">
        <v>46184</v>
      </c>
      <c r="C203" t="s">
        <v>111</v>
      </c>
      <c r="D203" t="s">
        <v>111</v>
      </c>
      <c r="E203" t="s">
        <v>55</v>
      </c>
      <c r="F203">
        <v>4</v>
      </c>
      <c r="G203">
        <v>250</v>
      </c>
      <c r="H203">
        <v>1</v>
      </c>
      <c r="I203">
        <f>H203*G203</f>
      </c>
      <c r="J203" t="s">
        <v>29</v>
      </c>
      <c r="L203" t="s">
        <v>16</v>
      </c>
      <c r="M203" s="1">
        <v>46183</v>
      </c>
    </row>
    <row r="204" spans="1:13" x14ac:dyDescent="0.25">
      <c r="A204" t="s">
        <v>43</v>
      </c>
      <c r="B204" s="1">
        <v>46179</v>
      </c>
      <c r="C204" t="s">
        <v>111</v>
      </c>
      <c r="D204" t="s">
        <v>111</v>
      </c>
      <c r="E204" t="s">
        <v>15</v>
      </c>
      <c r="F204">
        <v>6</v>
      </c>
      <c r="G204">
        <v>325</v>
      </c>
      <c r="H204">
        <v>24</v>
      </c>
      <c r="I204">
        <v>7800</v>
      </c>
      <c r="L204" t="s">
        <v>16</v>
      </c>
      <c r="M204" s="1">
        <v>46178</v>
      </c>
    </row>
    <row r="205" spans="1:13" x14ac:dyDescent="0.25">
      <c r="A205" t="s">
        <v>44</v>
      </c>
      <c r="B205" s="1">
        <v>46179</v>
      </c>
      <c r="C205" t="s">
        <v>111</v>
      </c>
      <c r="D205" t="s">
        <v>111</v>
      </c>
      <c r="E205" t="s">
        <v>15</v>
      </c>
      <c r="F205">
        <v>6</v>
      </c>
      <c r="G205">
        <v>325</v>
      </c>
      <c r="H205">
        <v>14</v>
      </c>
      <c r="I205">
        <v>4550</v>
      </c>
      <c r="L205" t="s">
        <v>16</v>
      </c>
      <c r="M205" s="1">
        <v>46178</v>
      </c>
    </row>
    <row r="206" spans="1:13" x14ac:dyDescent="0.25">
      <c r="A206" t="s">
        <v>45</v>
      </c>
      <c r="B206" s="1">
        <v>46179</v>
      </c>
      <c r="C206" t="s">
        <v>111</v>
      </c>
      <c r="D206" t="s">
        <v>111</v>
      </c>
      <c r="E206" t="s">
        <v>15</v>
      </c>
      <c r="F206">
        <v>6</v>
      </c>
      <c r="G206">
        <v>325</v>
      </c>
      <c r="H206">
        <v>16</v>
      </c>
      <c r="I206">
        <v>5200</v>
      </c>
      <c r="L206" t="s">
        <v>16</v>
      </c>
      <c r="M206" s="1">
        <v>46178</v>
      </c>
    </row>
    <row r="207" spans="1:13" x14ac:dyDescent="0.25">
      <c r="A207" t="s">
        <v>13</v>
      </c>
      <c r="B207" s="1">
        <v>46181</v>
      </c>
      <c r="C207" t="s">
        <v>115</v>
      </c>
      <c r="D207" t="s">
        <v>115</v>
      </c>
      <c r="E207" t="s">
        <v>15</v>
      </c>
      <c r="F207">
        <v>1</v>
      </c>
      <c r="G207">
        <v>100</v>
      </c>
      <c r="H207">
        <v>25</v>
      </c>
      <c r="I207">
        <f>H207*G207</f>
        <v>2500</v>
      </c>
      <c r="J207" t="s">
        <v>116</v>
      </c>
      <c r="L207" t="s">
        <v>16</v>
      </c>
      <c r="M207" s="1">
        <v>46181</v>
      </c>
    </row>
    <row r="208" spans="1:13" x14ac:dyDescent="0.25">
      <c r="A208" t="s">
        <v>13</v>
      </c>
      <c r="B208" s="1">
        <v>46184</v>
      </c>
      <c r="C208" t="s">
        <v>115</v>
      </c>
      <c r="D208" t="s">
        <v>115</v>
      </c>
      <c r="E208" t="s">
        <v>15</v>
      </c>
      <c r="F208">
        <v>4</v>
      </c>
      <c r="G208">
        <v>100</v>
      </c>
      <c r="H208">
        <v>27</v>
      </c>
      <c r="I208">
        <f>H208*G208</f>
        <v>2700</v>
      </c>
      <c r="L208" t="s">
        <v>16</v>
      </c>
      <c r="M208" s="1">
        <v>46183</v>
      </c>
    </row>
    <row r="209" spans="1:13" x14ac:dyDescent="0.25">
      <c r="A209" t="s">
        <v>17</v>
      </c>
      <c r="B209" s="1">
        <v>46181</v>
      </c>
      <c r="C209" t="s">
        <v>115</v>
      </c>
      <c r="D209" t="s">
        <v>115</v>
      </c>
      <c r="E209" t="s">
        <v>15</v>
      </c>
      <c r="F209">
        <v>1</v>
      </c>
      <c r="G209">
        <v>100</v>
      </c>
      <c r="H209">
        <v>19</v>
      </c>
      <c r="I209">
        <f>H209*G209</f>
        <v>1900</v>
      </c>
      <c r="L209" t="s">
        <v>16</v>
      </c>
      <c r="M209" s="1">
        <v>46181</v>
      </c>
    </row>
    <row r="210" spans="1:13" x14ac:dyDescent="0.25">
      <c r="A210" t="s">
        <v>17</v>
      </c>
      <c r="B210" s="1">
        <v>46184</v>
      </c>
      <c r="C210" t="s">
        <v>115</v>
      </c>
      <c r="D210" t="s">
        <v>115</v>
      </c>
      <c r="E210" t="s">
        <v>15</v>
      </c>
      <c r="F210">
        <v>4</v>
      </c>
      <c r="G210">
        <v>100</v>
      </c>
      <c r="H210">
        <v>18</v>
      </c>
      <c r="I210">
        <f>H210*G210</f>
        <v>1800</v>
      </c>
      <c r="L210" t="s">
        <v>16</v>
      </c>
      <c r="M210" s="1">
        <v>46183</v>
      </c>
    </row>
    <row r="211" spans="1:13" x14ac:dyDescent="0.25">
      <c r="A211" t="s">
        <v>42</v>
      </c>
      <c r="B211" s="1">
        <v>46181</v>
      </c>
      <c r="C211" t="s">
        <v>115</v>
      </c>
      <c r="D211" t="s">
        <v>115</v>
      </c>
      <c r="E211" t="s">
        <v>15</v>
      </c>
      <c r="F211">
        <v>1</v>
      </c>
      <c r="G211">
        <f>100*1.3</f>
        <v>130</v>
      </c>
      <c r="H211">
        <v>23</v>
      </c>
      <c r="I211">
        <f>H211*G211</f>
        <v>2990</v>
      </c>
      <c r="M211" s="1">
        <v>46181</v>
      </c>
    </row>
    <row r="212" spans="1:13" x14ac:dyDescent="0.25">
      <c r="A212" t="s">
        <v>43</v>
      </c>
      <c r="B212" s="1">
        <v>46181</v>
      </c>
      <c r="C212" t="s">
        <v>115</v>
      </c>
      <c r="D212" t="s">
        <v>115</v>
      </c>
      <c r="E212" t="s">
        <v>15</v>
      </c>
      <c r="F212">
        <v>1</v>
      </c>
      <c r="G212">
        <f>100*1.3</f>
        <v>130</v>
      </c>
      <c r="H212">
        <v>24</v>
      </c>
      <c r="I212">
        <f>H212*G212</f>
        <v>3120</v>
      </c>
      <c r="M212" s="1">
        <v>46181</v>
      </c>
    </row>
    <row r="213" spans="1:13" x14ac:dyDescent="0.25">
      <c r="A213" t="s">
        <v>18</v>
      </c>
      <c r="B213" s="1">
        <v>46189</v>
      </c>
      <c r="C213" t="s">
        <v>115</v>
      </c>
      <c r="D213" t="s">
        <v>115</v>
      </c>
      <c r="E213" t="s">
        <v>15</v>
      </c>
      <c r="F213">
        <v>1</v>
      </c>
      <c r="G213">
        <v>100</v>
      </c>
      <c r="H213">
        <v>8</v>
      </c>
      <c r="I213">
        <f>H213*G213</f>
        <v>800</v>
      </c>
      <c r="K213" t="s">
        <v>16</v>
      </c>
      <c r="M213" s="1">
        <v>46188</v>
      </c>
    </row>
    <row r="214" spans="1:13" x14ac:dyDescent="0.25">
      <c r="A214" t="s">
        <v>18</v>
      </c>
      <c r="B214" s="1">
        <v>46192</v>
      </c>
      <c r="C214" t="s">
        <v>115</v>
      </c>
      <c r="D214" t="s">
        <v>115</v>
      </c>
      <c r="E214" t="s">
        <v>15</v>
      </c>
      <c r="F214">
        <v>4</v>
      </c>
      <c r="G214">
        <v>100</v>
      </c>
      <c r="H214">
        <v>6</v>
      </c>
      <c r="I214">
        <f>H214*G214</f>
        <v>600</v>
      </c>
      <c r="K214" t="s">
        <v>16</v>
      </c>
      <c r="M214" s="1">
        <v>46188</v>
      </c>
    </row>
    <row r="215" spans="1:13" x14ac:dyDescent="0.25">
      <c r="A215" t="s">
        <v>44</v>
      </c>
      <c r="B215" s="1">
        <v>46181</v>
      </c>
      <c r="C215" t="s">
        <v>115</v>
      </c>
      <c r="D215" t="s">
        <v>115</v>
      </c>
      <c r="E215" t="s">
        <v>15</v>
      </c>
      <c r="F215">
        <v>1</v>
      </c>
      <c r="G215">
        <f>100*1.3</f>
        <v>130</v>
      </c>
      <c r="H215">
        <v>14</v>
      </c>
      <c r="I215">
        <f>H215*G215</f>
        <v>1820</v>
      </c>
      <c r="M215" s="1">
        <v>46181</v>
      </c>
    </row>
    <row r="216" spans="1:13" x14ac:dyDescent="0.25">
      <c r="A216" t="s">
        <v>19</v>
      </c>
      <c r="B216" s="1">
        <v>46182</v>
      </c>
      <c r="C216" t="s">
        <v>115</v>
      </c>
      <c r="D216" t="s">
        <v>115</v>
      </c>
      <c r="E216" t="s">
        <v>63</v>
      </c>
      <c r="F216">
        <v>2</v>
      </c>
      <c r="G216">
        <v>100</v>
      </c>
      <c r="H216">
        <v>1</v>
      </c>
      <c r="I216">
        <f>H216*G216</f>
        <v>100</v>
      </c>
      <c r="J216" t="s">
        <v>117</v>
      </c>
      <c r="L216" t="s">
        <v>16</v>
      </c>
      <c r="M216" s="1">
        <v>46181</v>
      </c>
    </row>
    <row r="217" spans="1:13" x14ac:dyDescent="0.25">
      <c r="A217" t="s">
        <v>19</v>
      </c>
      <c r="B217" s="1">
        <v>46181</v>
      </c>
      <c r="C217" t="s">
        <v>115</v>
      </c>
      <c r="D217" t="s">
        <v>115</v>
      </c>
      <c r="E217" t="s">
        <v>15</v>
      </c>
      <c r="F217">
        <v>1</v>
      </c>
      <c r="G217">
        <v>100</v>
      </c>
      <c r="H217">
        <v>22</v>
      </c>
      <c r="I217">
        <f>H217*G217</f>
        <v>2200</v>
      </c>
      <c r="L217" t="s">
        <v>16</v>
      </c>
      <c r="M217" s="1">
        <v>46181</v>
      </c>
    </row>
    <row r="218" spans="1:13" x14ac:dyDescent="0.25">
      <c r="A218" t="s">
        <v>19</v>
      </c>
      <c r="B218" s="1">
        <v>46184</v>
      </c>
      <c r="C218" t="s">
        <v>115</v>
      </c>
      <c r="D218" t="s">
        <v>115</v>
      </c>
      <c r="E218" t="s">
        <v>15</v>
      </c>
      <c r="F218">
        <v>4</v>
      </c>
      <c r="G218">
        <v>100</v>
      </c>
      <c r="H218">
        <v>21</v>
      </c>
      <c r="I218">
        <f>H218*G218</f>
        <v>2100</v>
      </c>
      <c r="L218" t="s">
        <v>16</v>
      </c>
      <c r="M218" s="1">
        <v>46183</v>
      </c>
    </row>
    <row r="219" spans="1:13" x14ac:dyDescent="0.25">
      <c r="A219" t="s">
        <v>45</v>
      </c>
      <c r="B219" s="1">
        <v>46181</v>
      </c>
      <c r="C219" t="s">
        <v>115</v>
      </c>
      <c r="D219" t="s">
        <v>115</v>
      </c>
      <c r="E219" t="s">
        <v>15</v>
      </c>
      <c r="F219">
        <v>1</v>
      </c>
      <c r="G219">
        <f>100*1.3</f>
        <v>130</v>
      </c>
      <c r="H219">
        <v>16</v>
      </c>
      <c r="I219">
        <f>H219*G219</f>
        <v>2080</v>
      </c>
      <c r="M219" s="1">
        <v>46181</v>
      </c>
    </row>
    <row r="220" spans="1:13" x14ac:dyDescent="0.25">
      <c r="A220" t="s">
        <v>20</v>
      </c>
      <c r="B220" s="1">
        <v>46182</v>
      </c>
      <c r="C220" t="s">
        <v>115</v>
      </c>
      <c r="D220" t="s">
        <v>115</v>
      </c>
      <c r="E220" t="s">
        <v>63</v>
      </c>
      <c r="F220">
        <v>2</v>
      </c>
      <c r="G220">
        <v>100</v>
      </c>
      <c r="H220">
        <v>1</v>
      </c>
      <c r="I220">
        <f>H220*G220</f>
        <v>100</v>
      </c>
      <c r="J220" t="s">
        <v>33</v>
      </c>
      <c r="L220" t="s">
        <v>16</v>
      </c>
      <c r="M220" s="1">
        <v>46181</v>
      </c>
    </row>
    <row r="221" spans="1:13" x14ac:dyDescent="0.25">
      <c r="A221" t="s">
        <v>20</v>
      </c>
      <c r="B221" s="1">
        <v>46182</v>
      </c>
      <c r="C221" t="s">
        <v>115</v>
      </c>
      <c r="D221" t="s">
        <v>115</v>
      </c>
      <c r="E221" t="s">
        <v>63</v>
      </c>
      <c r="F221">
        <v>2</v>
      </c>
      <c r="G221">
        <v>100</v>
      </c>
      <c r="H221">
        <v>1</v>
      </c>
      <c r="I221">
        <f>H221*G221</f>
        <v>100</v>
      </c>
      <c r="J221" t="s">
        <v>118</v>
      </c>
      <c r="L221" t="s">
        <v>16</v>
      </c>
      <c r="M221" s="1">
        <v>46181</v>
      </c>
    </row>
    <row r="222" spans="1:13" x14ac:dyDescent="0.25">
      <c r="A222" t="s">
        <v>20</v>
      </c>
      <c r="B222" s="1">
        <v>46181</v>
      </c>
      <c r="C222" t="s">
        <v>115</v>
      </c>
      <c r="D222" t="s">
        <v>115</v>
      </c>
      <c r="E222" t="s">
        <v>15</v>
      </c>
      <c r="F222">
        <v>1</v>
      </c>
      <c r="G222">
        <v>100</v>
      </c>
      <c r="H222">
        <v>49</v>
      </c>
      <c r="I222">
        <f>H222*G222</f>
        <v>4900</v>
      </c>
      <c r="L222" t="s">
        <v>16</v>
      </c>
      <c r="M222" s="1">
        <v>46181</v>
      </c>
    </row>
    <row r="223" spans="1:13" x14ac:dyDescent="0.25">
      <c r="A223" t="s">
        <v>20</v>
      </c>
      <c r="B223" s="1">
        <v>46184</v>
      </c>
      <c r="C223" t="s">
        <v>115</v>
      </c>
      <c r="D223" t="s">
        <v>115</v>
      </c>
      <c r="E223" t="s">
        <v>15</v>
      </c>
      <c r="F223">
        <v>4</v>
      </c>
      <c r="G223">
        <v>100</v>
      </c>
      <c r="H223">
        <v>1</v>
      </c>
      <c r="I223">
        <f>H223*G223</f>
      </c>
      <c r="L223" t="s">
        <v>16</v>
      </c>
      <c r="M223" s="1">
        <v>46183</v>
      </c>
    </row>
    <row r="224" spans="1:13" x14ac:dyDescent="0.25">
      <c r="A224" t="s">
        <v>21</v>
      </c>
      <c r="B224" s="1">
        <v>46181</v>
      </c>
      <c r="C224" t="s">
        <v>115</v>
      </c>
      <c r="D224" t="s">
        <v>115</v>
      </c>
      <c r="E224" t="s">
        <v>15</v>
      </c>
      <c r="F224">
        <v>1</v>
      </c>
      <c r="G224">
        <v>100</v>
      </c>
      <c r="H224">
        <v>25</v>
      </c>
      <c r="I224">
        <f>H224*G224</f>
        <v>2500</v>
      </c>
      <c r="L224" t="s">
        <v>16</v>
      </c>
      <c r="M224" s="1">
        <v>46181</v>
      </c>
    </row>
    <row r="225" spans="1:13" x14ac:dyDescent="0.25">
      <c r="A225" t="s">
        <v>21</v>
      </c>
      <c r="B225" s="1">
        <v>46184</v>
      </c>
      <c r="C225" t="s">
        <v>115</v>
      </c>
      <c r="D225" t="s">
        <v>115</v>
      </c>
      <c r="E225" t="s">
        <v>15</v>
      </c>
      <c r="F225">
        <v>4</v>
      </c>
      <c r="G225">
        <v>100</v>
      </c>
      <c r="H225">
        <v>50</v>
      </c>
      <c r="I225">
        <f>H225*G225</f>
        <v>5000</v>
      </c>
      <c r="L225" t="s">
        <v>16</v>
      </c>
      <c r="M225" s="1">
        <v>46183</v>
      </c>
    </row>
    <row r="226" spans="1:13" x14ac:dyDescent="0.25">
      <c r="A226" t="s">
        <v>13</v>
      </c>
      <c r="B226" s="1">
        <v>46181</v>
      </c>
      <c r="C226" t="s">
        <v>119</v>
      </c>
      <c r="D226" t="s">
        <v>119</v>
      </c>
      <c r="E226" t="s">
        <v>15</v>
      </c>
      <c r="F226">
        <v>1</v>
      </c>
      <c r="G226">
        <v>120</v>
      </c>
      <c r="H226">
        <v>25</v>
      </c>
      <c r="I226">
        <f>H226*G226</f>
        <v>3000</v>
      </c>
      <c r="L226" t="s">
        <v>16</v>
      </c>
      <c r="M226" s="1">
        <v>46181</v>
      </c>
    </row>
    <row r="227" spans="1:13" x14ac:dyDescent="0.25">
      <c r="A227" t="s">
        <v>17</v>
      </c>
      <c r="B227" s="1">
        <v>46181</v>
      </c>
      <c r="C227" t="s">
        <v>119</v>
      </c>
      <c r="D227" t="s">
        <v>119</v>
      </c>
      <c r="E227" t="s">
        <v>15</v>
      </c>
      <c r="F227">
        <v>1</v>
      </c>
      <c r="G227">
        <v>120</v>
      </c>
      <c r="H227">
        <v>19</v>
      </c>
      <c r="I227">
        <f>H227*G227</f>
        <v>2280</v>
      </c>
      <c r="L227" t="s">
        <v>16</v>
      </c>
      <c r="M227" s="1">
        <v>46181</v>
      </c>
    </row>
    <row r="228" spans="1:13" x14ac:dyDescent="0.25">
      <c r="A228" t="s">
        <v>42</v>
      </c>
      <c r="B228" s="1">
        <v>46181</v>
      </c>
      <c r="C228" t="s">
        <v>119</v>
      </c>
      <c r="D228" t="s">
        <v>119</v>
      </c>
      <c r="E228" t="s">
        <v>15</v>
      </c>
      <c r="F228">
        <v>1</v>
      </c>
      <c r="G228">
        <f>120*1.3</f>
        <v>156</v>
      </c>
      <c r="H228">
        <v>23</v>
      </c>
      <c r="I228">
        <f>H228*G228</f>
        <v>3588</v>
      </c>
      <c r="K228" t="s">
        <v>16</v>
      </c>
      <c r="M228" s="1">
        <v>46181</v>
      </c>
    </row>
    <row r="229" spans="1:13" x14ac:dyDescent="0.25">
      <c r="A229" t="s">
        <v>43</v>
      </c>
      <c r="B229" s="1">
        <v>46181</v>
      </c>
      <c r="C229" t="s">
        <v>119</v>
      </c>
      <c r="D229" t="s">
        <v>119</v>
      </c>
      <c r="E229" t="s">
        <v>15</v>
      </c>
      <c r="F229">
        <v>1</v>
      </c>
      <c r="G229">
        <f>120*1.3</f>
        <v>156</v>
      </c>
      <c r="H229">
        <v>24</v>
      </c>
      <c r="I229">
        <f>H229*G229</f>
        <v>3744</v>
      </c>
      <c r="K229" t="s">
        <v>16</v>
      </c>
      <c r="M229" s="1">
        <v>46181</v>
      </c>
    </row>
    <row r="230" spans="1:13" x14ac:dyDescent="0.25">
      <c r="A230" t="s">
        <v>18</v>
      </c>
      <c r="B230" s="1">
        <v>46189</v>
      </c>
      <c r="C230" t="s">
        <v>119</v>
      </c>
      <c r="D230" t="s">
        <v>119</v>
      </c>
      <c r="E230" t="s">
        <v>15</v>
      </c>
      <c r="F230">
        <v>1</v>
      </c>
      <c r="G230">
        <v>120</v>
      </c>
      <c r="H230">
        <v>8</v>
      </c>
      <c r="I230">
        <f>H230*G230</f>
        <v>960</v>
      </c>
      <c r="K230" t="s">
        <v>16</v>
      </c>
      <c r="M230" s="1">
        <v>46188</v>
      </c>
    </row>
    <row r="231" spans="1:13" x14ac:dyDescent="0.25">
      <c r="A231" t="s">
        <v>44</v>
      </c>
      <c r="B231" s="1">
        <v>46181</v>
      </c>
      <c r="C231" t="s">
        <v>119</v>
      </c>
      <c r="D231" t="s">
        <v>119</v>
      </c>
      <c r="E231" t="s">
        <v>15</v>
      </c>
      <c r="F231">
        <v>1</v>
      </c>
      <c r="G231">
        <f>120*1.3</f>
        <v>156</v>
      </c>
      <c r="H231">
        <v>14</v>
      </c>
      <c r="I231">
        <f>H231*G231</f>
        <v>2184</v>
      </c>
      <c r="K231" t="s">
        <v>16</v>
      </c>
      <c r="M231" s="1">
        <v>46181</v>
      </c>
    </row>
    <row r="232" spans="1:13" x14ac:dyDescent="0.25">
      <c r="A232" t="s">
        <v>19</v>
      </c>
      <c r="B232" s="1">
        <v>46182</v>
      </c>
      <c r="C232" t="s">
        <v>119</v>
      </c>
      <c r="D232" t="s">
        <v>119</v>
      </c>
      <c r="E232" t="s">
        <v>63</v>
      </c>
      <c r="F232">
        <v>2</v>
      </c>
      <c r="G232">
        <v>120</v>
      </c>
      <c r="H232">
        <v>1</v>
      </c>
      <c r="I232">
        <f>H232*G232</f>
        <v>120</v>
      </c>
      <c r="J232" t="s">
        <v>117</v>
      </c>
      <c r="L232" t="s">
        <v>16</v>
      </c>
      <c r="M232" s="1">
        <v>46181</v>
      </c>
    </row>
    <row r="233" spans="1:13" x14ac:dyDescent="0.25">
      <c r="A233" t="s">
        <v>19</v>
      </c>
      <c r="B233" s="1">
        <v>46181</v>
      </c>
      <c r="C233" t="s">
        <v>119</v>
      </c>
      <c r="D233" t="s">
        <v>119</v>
      </c>
      <c r="E233" t="s">
        <v>15</v>
      </c>
      <c r="F233">
        <v>1</v>
      </c>
      <c r="G233">
        <v>120</v>
      </c>
      <c r="H233">
        <v>22</v>
      </c>
      <c r="I233">
        <f>H233*G233</f>
        <v>2640</v>
      </c>
      <c r="L233" t="s">
        <v>16</v>
      </c>
      <c r="M233" s="1">
        <v>46181</v>
      </c>
    </row>
    <row r="234" spans="1:13" x14ac:dyDescent="0.25">
      <c r="A234" t="s">
        <v>45</v>
      </c>
      <c r="B234" s="1">
        <v>46181</v>
      </c>
      <c r="C234" t="s">
        <v>119</v>
      </c>
      <c r="D234" t="s">
        <v>119</v>
      </c>
      <c r="E234" t="s">
        <v>15</v>
      </c>
      <c r="F234">
        <v>1</v>
      </c>
      <c r="G234">
        <f>120*1.3</f>
        <v>156</v>
      </c>
      <c r="H234">
        <v>16</v>
      </c>
      <c r="I234">
        <f>H234*G234</f>
        <v>2496</v>
      </c>
      <c r="K234" t="s">
        <v>16</v>
      </c>
      <c r="M234" s="1">
        <v>46181</v>
      </c>
    </row>
    <row r="235" spans="1:13" x14ac:dyDescent="0.25">
      <c r="A235" t="s">
        <v>20</v>
      </c>
      <c r="B235" s="1">
        <v>46182</v>
      </c>
      <c r="C235" t="s">
        <v>119</v>
      </c>
      <c r="D235" t="s">
        <v>119</v>
      </c>
      <c r="E235" t="s">
        <v>63</v>
      </c>
      <c r="F235">
        <v>2</v>
      </c>
      <c r="G235">
        <v>120</v>
      </c>
      <c r="H235">
        <v>1</v>
      </c>
      <c r="I235">
        <f>H235*G235</f>
        <v>120</v>
      </c>
      <c r="J235" t="s">
        <v>33</v>
      </c>
      <c r="L235" t="s">
        <v>16</v>
      </c>
      <c r="M235" s="1">
        <v>46181</v>
      </c>
    </row>
    <row r="236" spans="1:13" x14ac:dyDescent="0.25">
      <c r="A236" t="s">
        <v>20</v>
      </c>
      <c r="B236" s="1">
        <v>46182</v>
      </c>
      <c r="C236" t="s">
        <v>119</v>
      </c>
      <c r="D236" t="s">
        <v>119</v>
      </c>
      <c r="E236" t="s">
        <v>63</v>
      </c>
      <c r="F236">
        <v>2</v>
      </c>
      <c r="G236">
        <v>120</v>
      </c>
      <c r="H236">
        <v>1</v>
      </c>
      <c r="I236">
        <f>H236*G236</f>
        <v>120</v>
      </c>
      <c r="J236" t="s">
        <v>118</v>
      </c>
      <c r="L236" t="s">
        <v>16</v>
      </c>
      <c r="M236" s="1">
        <v>46181</v>
      </c>
    </row>
    <row r="237" spans="1:13" x14ac:dyDescent="0.25">
      <c r="A237" t="s">
        <v>20</v>
      </c>
      <c r="B237" s="1">
        <v>46181</v>
      </c>
      <c r="C237" t="s">
        <v>119</v>
      </c>
      <c r="D237" t="s">
        <v>119</v>
      </c>
      <c r="E237" t="s">
        <v>15</v>
      </c>
      <c r="F237">
        <v>1</v>
      </c>
      <c r="G237">
        <v>120</v>
      </c>
      <c r="H237">
        <v>50</v>
      </c>
      <c r="I237">
        <f>H237*G237</f>
        <v>6000</v>
      </c>
      <c r="L237" t="s">
        <v>16</v>
      </c>
      <c r="M237" s="1">
        <v>46181</v>
      </c>
    </row>
    <row r="238" spans="1:13" x14ac:dyDescent="0.25">
      <c r="A238" t="s">
        <v>21</v>
      </c>
      <c r="B238" s="1">
        <v>46181</v>
      </c>
      <c r="C238" t="s">
        <v>119</v>
      </c>
      <c r="D238" t="s">
        <v>119</v>
      </c>
      <c r="E238" t="s">
        <v>15</v>
      </c>
      <c r="F238">
        <v>1</v>
      </c>
      <c r="G238">
        <v>120</v>
      </c>
      <c r="H238">
        <v>25</v>
      </c>
      <c r="I238">
        <f>H238*G238</f>
        <v>3000</v>
      </c>
      <c r="L238" t="s">
        <v>16</v>
      </c>
      <c r="M238" s="1">
        <v>46181</v>
      </c>
    </row>
    <row r="239" spans="1:13" x14ac:dyDescent="0.25">
      <c r="A239" t="s">
        <v>13</v>
      </c>
      <c r="B239" s="1">
        <v>46184</v>
      </c>
      <c r="C239" t="s">
        <v>120</v>
      </c>
      <c r="D239" t="s">
        <v>120</v>
      </c>
      <c r="E239" t="s">
        <v>15</v>
      </c>
      <c r="F239">
        <v>4</v>
      </c>
      <c r="G239">
        <v>100</v>
      </c>
      <c r="H239">
        <v>28</v>
      </c>
      <c r="I239">
        <f>H239*G239</f>
        <v>2800</v>
      </c>
      <c r="L239" t="s">
        <v>16</v>
      </c>
      <c r="M239" s="1">
        <v>46183</v>
      </c>
    </row>
    <row r="240" spans="1:13" x14ac:dyDescent="0.25">
      <c r="A240" t="s">
        <v>17</v>
      </c>
      <c r="B240" s="1">
        <v>46184</v>
      </c>
      <c r="C240" t="s">
        <v>120</v>
      </c>
      <c r="D240" t="s">
        <v>120</v>
      </c>
      <c r="E240" t="s">
        <v>15</v>
      </c>
      <c r="F240">
        <v>4</v>
      </c>
      <c r="G240">
        <v>100</v>
      </c>
      <c r="H240">
        <v>18</v>
      </c>
      <c r="I240">
        <f>H240*G240</f>
        <v>1800</v>
      </c>
      <c r="L240" t="s">
        <v>16</v>
      </c>
      <c r="M240" s="1">
        <v>46183</v>
      </c>
    </row>
    <row r="241" spans="1:13" x14ac:dyDescent="0.25">
      <c r="A241" t="s">
        <v>18</v>
      </c>
      <c r="B241" s="1">
        <v>46192</v>
      </c>
      <c r="C241" t="s">
        <v>120</v>
      </c>
      <c r="D241" t="s">
        <v>120</v>
      </c>
      <c r="E241" t="s">
        <v>15</v>
      </c>
      <c r="F241">
        <v>4</v>
      </c>
      <c r="G241">
        <v>75</v>
      </c>
      <c r="H241">
        <v>6</v>
      </c>
      <c r="I241">
        <f>H241*G241</f>
        <v>450</v>
      </c>
      <c r="K241" t="s">
        <v>16</v>
      </c>
      <c r="M241" s="1">
        <v>46188</v>
      </c>
    </row>
    <row r="242" spans="1:13" x14ac:dyDescent="0.25">
      <c r="A242" t="s">
        <v>19</v>
      </c>
      <c r="B242" s="1">
        <v>46184</v>
      </c>
      <c r="C242" t="s">
        <v>120</v>
      </c>
      <c r="D242" t="s">
        <v>120</v>
      </c>
      <c r="E242" t="s">
        <v>15</v>
      </c>
      <c r="F242">
        <v>4</v>
      </c>
      <c r="G242">
        <v>100</v>
      </c>
      <c r="H242">
        <v>21</v>
      </c>
      <c r="I242">
        <f>H242*G242</f>
        <v>2100</v>
      </c>
      <c r="L242" t="s">
        <v>16</v>
      </c>
      <c r="M242" s="1">
        <v>46183</v>
      </c>
    </row>
    <row r="243" spans="1:13" x14ac:dyDescent="0.25">
      <c r="A243" t="s">
        <v>20</v>
      </c>
      <c r="B243" s="1">
        <v>46184</v>
      </c>
      <c r="C243" t="s">
        <v>120</v>
      </c>
      <c r="D243" t="s">
        <v>120</v>
      </c>
      <c r="E243" t="s">
        <v>15</v>
      </c>
      <c r="F243">
        <v>4</v>
      </c>
      <c r="G243">
        <v>100</v>
      </c>
      <c r="H243">
        <v>1</v>
      </c>
      <c r="I243">
        <f>H243*G243</f>
      </c>
      <c r="L243" t="s">
        <v>16</v>
      </c>
      <c r="M243" s="1">
        <v>46183</v>
      </c>
    </row>
    <row r="244" spans="1:13" x14ac:dyDescent="0.25">
      <c r="A244" t="s">
        <v>21</v>
      </c>
      <c r="B244" s="1">
        <v>46184</v>
      </c>
      <c r="C244" t="s">
        <v>120</v>
      </c>
      <c r="D244" t="s">
        <v>120</v>
      </c>
      <c r="E244" t="s">
        <v>15</v>
      </c>
      <c r="F244">
        <v>4</v>
      </c>
      <c r="G244">
        <v>100</v>
      </c>
      <c r="H244">
        <v>50</v>
      </c>
      <c r="I244">
        <f>H244*G244</f>
        <v>5000</v>
      </c>
      <c r="L244" t="s">
        <v>16</v>
      </c>
      <c r="M244" s="1">
        <v>46183</v>
      </c>
    </row>
    <row r="245" spans="1:13" x14ac:dyDescent="0.25">
      <c r="A245" t="s">
        <v>22</v>
      </c>
      <c r="B245" s="1">
        <v>46185</v>
      </c>
      <c r="C245" t="s">
        <v>121</v>
      </c>
      <c r="D245" t="s">
        <v>121</v>
      </c>
      <c r="E245" t="s">
        <v>25</v>
      </c>
      <c r="F245">
        <v>5</v>
      </c>
      <c r="G245">
        <v>1</v>
      </c>
      <c r="H245">
        <v>24</v>
      </c>
      <c r="I245">
        <f>H245*G245</f>
        <v>24</v>
      </c>
      <c r="L245" t="s">
        <v>16</v>
      </c>
      <c r="M245" s="1">
        <v>46185</v>
      </c>
    </row>
    <row r="246" spans="1:13" x14ac:dyDescent="0.25">
      <c r="A246" t="s">
        <v>22</v>
      </c>
      <c r="B246" s="1">
        <v>46181</v>
      </c>
      <c r="C246" t="s">
        <v>122</v>
      </c>
      <c r="D246" t="s">
        <v>122</v>
      </c>
      <c r="E246" t="s">
        <v>25</v>
      </c>
      <c r="F246">
        <v>1</v>
      </c>
      <c r="G246">
        <v>1</v>
      </c>
      <c r="H246">
        <v>24</v>
      </c>
      <c r="I246">
        <f>H246*G246</f>
        <v>24</v>
      </c>
      <c r="L246" t="s">
        <v>16</v>
      </c>
      <c r="M246" s="1">
        <v>46181</v>
      </c>
    </row>
    <row r="247" spans="1:13" x14ac:dyDescent="0.25">
      <c r="A247" t="s">
        <v>22</v>
      </c>
      <c r="B247" s="1">
        <v>46182</v>
      </c>
      <c r="C247" t="s">
        <v>123</v>
      </c>
      <c r="D247" t="s">
        <v>123</v>
      </c>
      <c r="E247" t="s">
        <v>24</v>
      </c>
      <c r="F247">
        <v>2</v>
      </c>
      <c r="G247">
        <v>1</v>
      </c>
      <c r="H247">
        <v>24</v>
      </c>
      <c r="I247">
        <f>H247*G247</f>
        <v>24</v>
      </c>
      <c r="L247" t="s">
        <v>16</v>
      </c>
      <c r="M247" s="1">
        <v>46181</v>
      </c>
    </row>
    <row r="248" spans="1:13" x14ac:dyDescent="0.25">
      <c r="A248" t="s">
        <v>13</v>
      </c>
      <c r="B248" s="1">
        <v>46185</v>
      </c>
      <c r="C248" t="s">
        <v>123</v>
      </c>
      <c r="D248" t="s">
        <v>123</v>
      </c>
      <c r="E248" t="s">
        <v>15</v>
      </c>
      <c r="F248">
        <v>5</v>
      </c>
      <c r="G248">
        <v>1</v>
      </c>
      <c r="H248">
        <v>20</v>
      </c>
      <c r="I248">
        <f>H248*G248</f>
        <v>20</v>
      </c>
      <c r="L248" t="s">
        <v>16</v>
      </c>
      <c r="M248" s="1">
        <v>46183</v>
      </c>
    </row>
    <row r="249" spans="1:13" x14ac:dyDescent="0.25">
      <c r="A249" t="s">
        <v>17</v>
      </c>
      <c r="B249" s="1">
        <v>46185</v>
      </c>
      <c r="C249" t="s">
        <v>123</v>
      </c>
      <c r="D249" t="s">
        <v>123</v>
      </c>
      <c r="E249" t="s">
        <v>15</v>
      </c>
      <c r="F249">
        <v>5</v>
      </c>
      <c r="G249">
        <v>1</v>
      </c>
      <c r="H249">
        <v>21</v>
      </c>
      <c r="I249">
        <f>H249*G249</f>
        <v>21</v>
      </c>
      <c r="L249" t="s">
        <v>16</v>
      </c>
      <c r="M249" s="1">
        <v>46183</v>
      </c>
    </row>
    <row r="250" spans="1:13" x14ac:dyDescent="0.25">
      <c r="A250" t="s">
        <v>42</v>
      </c>
      <c r="B250" s="1">
        <v>46179</v>
      </c>
      <c r="C250" t="s">
        <v>123</v>
      </c>
      <c r="D250" t="s">
        <v>123</v>
      </c>
      <c r="E250" t="s">
        <v>15</v>
      </c>
      <c r="F250">
        <v>6</v>
      </c>
      <c r="G250">
        <v>1.3</v>
      </c>
      <c r="H250">
        <v>23</v>
      </c>
      <c r="I250" s="2">
        <v>29.900000000000002</v>
      </c>
      <c r="L250" t="s">
        <v>16</v>
      </c>
      <c r="M250" s="1">
        <v>46178</v>
      </c>
    </row>
    <row r="251" spans="1:13" x14ac:dyDescent="0.25">
      <c r="A251" t="s">
        <v>43</v>
      </c>
      <c r="B251" s="1">
        <v>46179</v>
      </c>
      <c r="C251" t="s">
        <v>123</v>
      </c>
      <c r="D251" t="s">
        <v>123</v>
      </c>
      <c r="E251" t="s">
        <v>15</v>
      </c>
      <c r="F251">
        <v>6</v>
      </c>
      <c r="G251">
        <v>1.3</v>
      </c>
      <c r="H251">
        <v>24</v>
      </c>
      <c r="I251" s="2">
        <v>31.200000000000003</v>
      </c>
      <c r="L251" t="s">
        <v>16</v>
      </c>
      <c r="M251" s="1">
        <v>46178</v>
      </c>
    </row>
    <row r="252" spans="1:13" x14ac:dyDescent="0.25">
      <c r="A252" t="s">
        <v>18</v>
      </c>
      <c r="B252" s="1">
        <v>46195</v>
      </c>
      <c r="C252" t="s">
        <v>123</v>
      </c>
      <c r="D252" t="s">
        <v>123</v>
      </c>
      <c r="E252" t="s">
        <v>15</v>
      </c>
      <c r="F252">
        <v>5</v>
      </c>
      <c r="G252">
        <v>0.5</v>
      </c>
      <c r="H252">
        <v>6</v>
      </c>
      <c r="I252">
        <f>H252*G252</f>
        <v>3</v>
      </c>
      <c r="L252" t="s">
        <v>16</v>
      </c>
      <c r="M252" s="1">
        <v>46188</v>
      </c>
    </row>
    <row r="253" spans="1:13" x14ac:dyDescent="0.25">
      <c r="A253" t="s">
        <v>44</v>
      </c>
      <c r="B253" s="1">
        <v>46179</v>
      </c>
      <c r="C253" t="s">
        <v>123</v>
      </c>
      <c r="D253" t="s">
        <v>123</v>
      </c>
      <c r="E253" t="s">
        <v>15</v>
      </c>
      <c r="F253">
        <v>6</v>
      </c>
      <c r="G253">
        <v>1.3</v>
      </c>
      <c r="H253">
        <v>14</v>
      </c>
      <c r="I253" s="2">
        <v>18.2</v>
      </c>
      <c r="L253" t="s">
        <v>16</v>
      </c>
      <c r="M253" s="1">
        <v>46178</v>
      </c>
    </row>
    <row r="254" spans="1:13" x14ac:dyDescent="0.25">
      <c r="A254" t="s">
        <v>50</v>
      </c>
      <c r="B254" s="1">
        <v>46186</v>
      </c>
      <c r="C254" t="s">
        <v>123</v>
      </c>
      <c r="D254" t="s">
        <v>123</v>
      </c>
      <c r="E254" t="s">
        <v>15</v>
      </c>
      <c r="F254">
        <v>6</v>
      </c>
      <c r="G254">
        <v>1</v>
      </c>
      <c r="H254">
        <v>12</v>
      </c>
      <c r="I254">
        <f>H254*G254</f>
        <v>12</v>
      </c>
      <c r="L254" t="s">
        <v>16</v>
      </c>
      <c r="M254" s="1">
        <v>46183</v>
      </c>
    </row>
    <row r="255" spans="1:13" x14ac:dyDescent="0.25">
      <c r="A255" t="s">
        <v>19</v>
      </c>
      <c r="B255" s="1">
        <v>46185</v>
      </c>
      <c r="C255" t="s">
        <v>123</v>
      </c>
      <c r="D255" t="s">
        <v>123</v>
      </c>
      <c r="E255" t="s">
        <v>15</v>
      </c>
      <c r="F255">
        <v>5</v>
      </c>
      <c r="G255">
        <v>1</v>
      </c>
      <c r="H255">
        <v>21</v>
      </c>
      <c r="I255">
        <f>H255*G255</f>
        <v>21</v>
      </c>
      <c r="L255" t="s">
        <v>16</v>
      </c>
      <c r="M255" s="1">
        <v>46183</v>
      </c>
    </row>
    <row r="256" spans="1:13" x14ac:dyDescent="0.25">
      <c r="A256" t="s">
        <v>45</v>
      </c>
      <c r="B256" s="1">
        <v>46179</v>
      </c>
      <c r="C256" t="s">
        <v>123</v>
      </c>
      <c r="D256" t="s">
        <v>123</v>
      </c>
      <c r="E256" t="s">
        <v>15</v>
      </c>
      <c r="F256">
        <v>6</v>
      </c>
      <c r="G256">
        <v>1.3</v>
      </c>
      <c r="H256">
        <v>16</v>
      </c>
      <c r="I256" s="2">
        <v>20.8</v>
      </c>
      <c r="L256" t="s">
        <v>16</v>
      </c>
      <c r="M256" s="1">
        <v>46178</v>
      </c>
    </row>
    <row r="257" spans="1:13" x14ac:dyDescent="0.25">
      <c r="A257" t="s">
        <v>20</v>
      </c>
      <c r="B257" s="1">
        <v>46185</v>
      </c>
      <c r="C257" t="s">
        <v>123</v>
      </c>
      <c r="D257" t="s">
        <v>123</v>
      </c>
      <c r="E257" t="s">
        <v>15</v>
      </c>
      <c r="F257">
        <v>5</v>
      </c>
      <c r="G257">
        <v>1</v>
      </c>
      <c r="H257">
        <v>1</v>
      </c>
      <c r="I257">
        <f>H257*G257</f>
      </c>
      <c r="L257" t="s">
        <v>16</v>
      </c>
      <c r="M257" s="1">
        <v>46183</v>
      </c>
    </row>
    <row r="258" spans="1:13" x14ac:dyDescent="0.25">
      <c r="A258" t="s">
        <v>20</v>
      </c>
      <c r="B258" s="1">
        <v>46186</v>
      </c>
      <c r="C258" t="s">
        <v>123</v>
      </c>
      <c r="D258" t="s">
        <v>123</v>
      </c>
      <c r="E258" t="s">
        <v>15</v>
      </c>
      <c r="F258">
        <v>6</v>
      </c>
      <c r="G258">
        <v>1</v>
      </c>
      <c r="H258">
        <v>1</v>
      </c>
      <c r="I258">
        <f>H258*G258</f>
      </c>
      <c r="L258" t="s">
        <v>16</v>
      </c>
      <c r="M258" s="1">
        <v>46183</v>
      </c>
    </row>
    <row r="259" spans="1:13" x14ac:dyDescent="0.25">
      <c r="A259" t="s">
        <v>21</v>
      </c>
      <c r="B259" s="1">
        <v>46185</v>
      </c>
      <c r="C259" t="s">
        <v>123</v>
      </c>
      <c r="D259" t="s">
        <v>123</v>
      </c>
      <c r="E259" t="s">
        <v>15</v>
      </c>
      <c r="F259">
        <v>5</v>
      </c>
      <c r="G259">
        <v>1</v>
      </c>
      <c r="H259">
        <v>45</v>
      </c>
      <c r="I259">
        <f>H259*G259</f>
        <v>45</v>
      </c>
      <c r="L259" t="s">
        <v>16</v>
      </c>
      <c r="M259" s="1">
        <v>46183</v>
      </c>
    </row>
    <row r="260" spans="1:13" x14ac:dyDescent="0.25">
      <c r="A260" t="s">
        <v>22</v>
      </c>
      <c r="B260" s="1">
        <v>46186</v>
      </c>
      <c r="C260" t="s">
        <v>124</v>
      </c>
      <c r="D260" t="s">
        <v>124</v>
      </c>
      <c r="E260" t="s">
        <v>24</v>
      </c>
      <c r="F260">
        <v>6</v>
      </c>
      <c r="G260">
        <v>1</v>
      </c>
      <c r="H260">
        <v>24</v>
      </c>
      <c r="I260">
        <f>H260*G260</f>
        <v>24</v>
      </c>
      <c r="L260" t="s">
        <v>16</v>
      </c>
      <c r="M260" s="1">
        <v>46185</v>
      </c>
    </row>
    <row r="261" spans="1:13" x14ac:dyDescent="0.25">
      <c r="A261" t="s">
        <v>13</v>
      </c>
      <c r="B261" s="1">
        <v>46183</v>
      </c>
      <c r="C261" t="s">
        <v>125</v>
      </c>
      <c r="D261" t="s">
        <v>125</v>
      </c>
      <c r="E261" t="s">
        <v>63</v>
      </c>
      <c r="F261">
        <v>3</v>
      </c>
      <c r="G261">
        <v>100</v>
      </c>
      <c r="H261">
        <v>1</v>
      </c>
      <c r="I261">
        <f>H261*G261</f>
        <v>100</v>
      </c>
      <c r="J261" t="s">
        <v>126</v>
      </c>
      <c r="L261" t="s">
        <v>16</v>
      </c>
      <c r="M261" s="1">
        <v>46183</v>
      </c>
    </row>
    <row r="262" spans="1:13" x14ac:dyDescent="0.25">
      <c r="A262" t="s">
        <v>42</v>
      </c>
      <c r="B262" s="1">
        <v>46178</v>
      </c>
      <c r="C262" t="s">
        <v>125</v>
      </c>
      <c r="D262" t="s">
        <v>125</v>
      </c>
      <c r="E262" t="s">
        <v>15</v>
      </c>
      <c r="F262">
        <v>5</v>
      </c>
      <c r="G262">
        <v>130</v>
      </c>
      <c r="H262">
        <v>23</v>
      </c>
      <c r="I262">
        <v>2990</v>
      </c>
      <c r="L262" t="s">
        <v>16</v>
      </c>
      <c r="M262" s="1">
        <v>46178</v>
      </c>
    </row>
    <row r="263" spans="1:13" x14ac:dyDescent="0.25">
      <c r="A263" t="s">
        <v>43</v>
      </c>
      <c r="B263" s="1">
        <v>46178</v>
      </c>
      <c r="C263" t="s">
        <v>125</v>
      </c>
      <c r="D263" t="s">
        <v>125</v>
      </c>
      <c r="E263" t="s">
        <v>15</v>
      </c>
      <c r="F263">
        <v>5</v>
      </c>
      <c r="G263">
        <v>130</v>
      </c>
      <c r="H263">
        <v>24</v>
      </c>
      <c r="I263">
        <v>3120</v>
      </c>
      <c r="L263" t="s">
        <v>16</v>
      </c>
      <c r="M263" s="1">
        <v>46178</v>
      </c>
    </row>
    <row r="264" spans="1:13" x14ac:dyDescent="0.25">
      <c r="A264" t="s">
        <v>44</v>
      </c>
      <c r="B264" s="1">
        <v>46178</v>
      </c>
      <c r="C264" t="s">
        <v>125</v>
      </c>
      <c r="D264" t="s">
        <v>125</v>
      </c>
      <c r="E264" t="s">
        <v>15</v>
      </c>
      <c r="F264">
        <v>5</v>
      </c>
      <c r="G264">
        <v>130</v>
      </c>
      <c r="H264">
        <v>14</v>
      </c>
      <c r="I264">
        <v>1820</v>
      </c>
      <c r="L264" t="s">
        <v>16</v>
      </c>
      <c r="M264" s="1">
        <v>46178</v>
      </c>
    </row>
    <row r="265" spans="1:13" x14ac:dyDescent="0.25">
      <c r="A265" t="s">
        <v>45</v>
      </c>
      <c r="B265" s="1">
        <v>46178</v>
      </c>
      <c r="C265" t="s">
        <v>125</v>
      </c>
      <c r="D265" t="s">
        <v>125</v>
      </c>
      <c r="E265" t="s">
        <v>15</v>
      </c>
      <c r="F265">
        <v>5</v>
      </c>
      <c r="G265">
        <v>130</v>
      </c>
      <c r="H265">
        <v>16</v>
      </c>
      <c r="I265">
        <v>2080</v>
      </c>
      <c r="L265" t="s">
        <v>16</v>
      </c>
      <c r="M265" s="1">
        <v>46178</v>
      </c>
    </row>
    <row r="266" spans="1:13" x14ac:dyDescent="0.25">
      <c r="A266" t="s">
        <v>13</v>
      </c>
      <c r="B266" s="1">
        <v>46183</v>
      </c>
      <c r="C266" t="s">
        <v>127</v>
      </c>
      <c r="D266" t="s">
        <v>127</v>
      </c>
      <c r="E266" t="s">
        <v>15</v>
      </c>
      <c r="F266">
        <v>3</v>
      </c>
      <c r="G266">
        <v>100</v>
      </c>
      <c r="H266">
        <v>26</v>
      </c>
      <c r="I266">
        <f>H266*G266</f>
        <v>2600</v>
      </c>
      <c r="L266" t="s">
        <v>16</v>
      </c>
      <c r="M266" s="1">
        <v>46183</v>
      </c>
    </row>
    <row r="267" spans="1:13" x14ac:dyDescent="0.25">
      <c r="A267" t="s">
        <v>17</v>
      </c>
      <c r="B267" s="1">
        <v>46183</v>
      </c>
      <c r="C267" t="s">
        <v>127</v>
      </c>
      <c r="D267" t="s">
        <v>127</v>
      </c>
      <c r="E267" t="s">
        <v>15</v>
      </c>
      <c r="F267">
        <v>3</v>
      </c>
      <c r="G267">
        <v>100</v>
      </c>
      <c r="H267">
        <v>20</v>
      </c>
      <c r="I267">
        <f>H267*G267</f>
        <v>2000</v>
      </c>
      <c r="L267" t="s">
        <v>16</v>
      </c>
      <c r="M267" s="1">
        <v>46183</v>
      </c>
    </row>
    <row r="268" spans="1:13" x14ac:dyDescent="0.25">
      <c r="A268" t="s">
        <v>18</v>
      </c>
      <c r="B268" s="1">
        <v>46191</v>
      </c>
      <c r="C268" t="s">
        <v>127</v>
      </c>
      <c r="D268" t="s">
        <v>127</v>
      </c>
      <c r="E268" t="s">
        <v>15</v>
      </c>
      <c r="F268">
        <v>3</v>
      </c>
      <c r="G268">
        <v>75</v>
      </c>
      <c r="H268">
        <v>9</v>
      </c>
      <c r="I268">
        <f>H268*G268</f>
        <v>675</v>
      </c>
      <c r="K268" t="s">
        <v>16</v>
      </c>
      <c r="M268" s="1">
        <v>46188</v>
      </c>
    </row>
    <row r="269" spans="1:13" x14ac:dyDescent="0.25">
      <c r="A269" t="s">
        <v>19</v>
      </c>
      <c r="B269" s="1">
        <v>46183</v>
      </c>
      <c r="C269" t="s">
        <v>127</v>
      </c>
      <c r="D269" t="s">
        <v>127</v>
      </c>
      <c r="E269" t="s">
        <v>15</v>
      </c>
      <c r="F269">
        <v>3</v>
      </c>
      <c r="G269">
        <v>100</v>
      </c>
      <c r="H269">
        <v>1</v>
      </c>
      <c r="I269">
        <f>H269*G269</f>
      </c>
      <c r="L269" t="s">
        <v>16</v>
      </c>
      <c r="M269" s="1">
        <v>46183</v>
      </c>
    </row>
    <row r="270" spans="1:13" x14ac:dyDescent="0.25">
      <c r="A270" t="s">
        <v>20</v>
      </c>
      <c r="B270" s="1">
        <v>46183</v>
      </c>
      <c r="C270" t="s">
        <v>127</v>
      </c>
      <c r="D270" t="s">
        <v>127</v>
      </c>
      <c r="E270" t="s">
        <v>15</v>
      </c>
      <c r="F270">
        <v>3</v>
      </c>
      <c r="G270">
        <v>100</v>
      </c>
      <c r="H270">
        <v>1</v>
      </c>
      <c r="I270">
        <f>H270*G270</f>
      </c>
      <c r="L270" t="s">
        <v>16</v>
      </c>
      <c r="M270" s="1">
        <v>46183</v>
      </c>
    </row>
    <row r="271" spans="1:13" x14ac:dyDescent="0.25">
      <c r="A271" t="s">
        <v>21</v>
      </c>
      <c r="B271" s="1">
        <v>46183</v>
      </c>
      <c r="C271" t="s">
        <v>127</v>
      </c>
      <c r="D271" t="s">
        <v>127</v>
      </c>
      <c r="E271" t="s">
        <v>15</v>
      </c>
      <c r="F271">
        <v>3</v>
      </c>
      <c r="G271">
        <v>100</v>
      </c>
      <c r="H271">
        <v>50</v>
      </c>
      <c r="I271">
        <f>H271*G271</f>
        <v>5000</v>
      </c>
      <c r="L271" t="s">
        <v>16</v>
      </c>
      <c r="M271" s="1">
        <v>46183</v>
      </c>
    </row>
    <row r="272" spans="1:13" x14ac:dyDescent="0.25">
      <c r="A272" t="s">
        <v>22</v>
      </c>
      <c r="B272" s="1">
        <v>46184</v>
      </c>
      <c r="C272" t="s">
        <v>128</v>
      </c>
      <c r="D272" t="s">
        <v>128</v>
      </c>
      <c r="E272" t="s">
        <v>24</v>
      </c>
      <c r="F272">
        <v>4</v>
      </c>
      <c r="G272">
        <v>1</v>
      </c>
      <c r="H272">
        <v>24</v>
      </c>
      <c r="I272">
        <f>H272*G272</f>
        <v>24</v>
      </c>
      <c r="L272" t="s">
        <v>16</v>
      </c>
      <c r="M272" s="1">
        <v>46183</v>
      </c>
    </row>
    <row r="273" spans="1:13" x14ac:dyDescent="0.25">
      <c r="A273" t="s">
        <v>20</v>
      </c>
      <c r="B273" s="1">
        <v>46184</v>
      </c>
      <c r="C273" t="s">
        <v>128</v>
      </c>
      <c r="D273" t="s">
        <v>128</v>
      </c>
      <c r="E273" t="s">
        <v>25</v>
      </c>
      <c r="F273">
        <v>4</v>
      </c>
      <c r="G273">
        <v>1</v>
      </c>
      <c r="H273">
        <v>1</v>
      </c>
      <c r="I273">
        <f>H273*G273</f>
      </c>
      <c r="L273" t="s">
        <v>16</v>
      </c>
      <c r="M273" s="1">
        <v>46183</v>
      </c>
    </row>
    <row r="274" spans="1:13" x14ac:dyDescent="0.25">
      <c r="A274" t="s">
        <v>13</v>
      </c>
      <c r="B274" s="1">
        <v>46184</v>
      </c>
      <c r="C274" t="s">
        <v>129</v>
      </c>
      <c r="D274" t="s">
        <v>129</v>
      </c>
      <c r="E274" t="s">
        <v>63</v>
      </c>
      <c r="F274">
        <v>4</v>
      </c>
      <c r="G274">
        <v>100</v>
      </c>
      <c r="H274">
        <v>1</v>
      </c>
      <c r="I274">
        <f>H274*G274</f>
        <v>100</v>
      </c>
      <c r="J274" t="s">
        <v>130</v>
      </c>
      <c r="L274" t="s">
        <v>16</v>
      </c>
      <c r="M274" s="1">
        <v>46183</v>
      </c>
    </row>
    <row r="275" spans="1:13" x14ac:dyDescent="0.25">
      <c r="A275" t="s">
        <v>13</v>
      </c>
      <c r="B275" s="1">
        <v>46183</v>
      </c>
      <c r="C275" t="s">
        <v>131</v>
      </c>
      <c r="D275" t="s">
        <v>131</v>
      </c>
      <c r="E275" t="s">
        <v>15</v>
      </c>
      <c r="F275">
        <v>3</v>
      </c>
      <c r="G275">
        <v>100</v>
      </c>
      <c r="H275">
        <v>27</v>
      </c>
      <c r="I275">
        <f>H275*G275</f>
        <v>2700</v>
      </c>
      <c r="L275" t="s">
        <v>16</v>
      </c>
      <c r="M275" s="1">
        <v>46183</v>
      </c>
    </row>
    <row r="276" spans="1:13" x14ac:dyDescent="0.25">
      <c r="A276" t="s">
        <v>17</v>
      </c>
      <c r="B276" s="1">
        <v>46183</v>
      </c>
      <c r="C276" t="s">
        <v>131</v>
      </c>
      <c r="D276" t="s">
        <v>131</v>
      </c>
      <c r="E276" t="s">
        <v>15</v>
      </c>
      <c r="F276">
        <v>3</v>
      </c>
      <c r="G276">
        <v>100</v>
      </c>
      <c r="H276">
        <v>20</v>
      </c>
      <c r="I276">
        <f>H276*G276</f>
        <v>2000</v>
      </c>
      <c r="L276" t="s">
        <v>16</v>
      </c>
      <c r="M276" s="1">
        <v>46183</v>
      </c>
    </row>
    <row r="277" spans="1:13" x14ac:dyDescent="0.25">
      <c r="A277" t="s">
        <v>18</v>
      </c>
      <c r="B277" s="1">
        <v>46191</v>
      </c>
      <c r="C277" t="s">
        <v>131</v>
      </c>
      <c r="D277" t="s">
        <v>131</v>
      </c>
      <c r="E277" t="s">
        <v>15</v>
      </c>
      <c r="F277">
        <v>3</v>
      </c>
      <c r="G277">
        <v>75</v>
      </c>
      <c r="H277">
        <v>9</v>
      </c>
      <c r="I277">
        <f>H277*G277</f>
        <v>675</v>
      </c>
      <c r="K277" t="s">
        <v>16</v>
      </c>
      <c r="M277" s="1">
        <v>46188</v>
      </c>
    </row>
    <row r="278" spans="1:13" x14ac:dyDescent="0.25">
      <c r="A278" t="s">
        <v>19</v>
      </c>
      <c r="B278" s="1">
        <v>46183</v>
      </c>
      <c r="C278" t="s">
        <v>131</v>
      </c>
      <c r="D278" t="s">
        <v>131</v>
      </c>
      <c r="E278" t="s">
        <v>15</v>
      </c>
      <c r="F278">
        <v>3</v>
      </c>
      <c r="G278">
        <v>100</v>
      </c>
      <c r="H278">
        <v>1</v>
      </c>
      <c r="I278">
        <f>H278*G278</f>
      </c>
      <c r="L278" t="s">
        <v>16</v>
      </c>
      <c r="M278" s="1">
        <v>46183</v>
      </c>
    </row>
    <row r="279" spans="1:13" x14ac:dyDescent="0.25">
      <c r="A279" t="s">
        <v>20</v>
      </c>
      <c r="B279" s="1">
        <v>46183</v>
      </c>
      <c r="C279" t="s">
        <v>131</v>
      </c>
      <c r="D279" t="s">
        <v>131</v>
      </c>
      <c r="E279" t="s">
        <v>15</v>
      </c>
      <c r="F279">
        <v>3</v>
      </c>
      <c r="G279">
        <v>100</v>
      </c>
      <c r="H279">
        <v>1</v>
      </c>
      <c r="I279" s="2">
        <f>H279*G279</f>
      </c>
      <c r="L279" t="s">
        <v>16</v>
      </c>
      <c r="M279" s="1">
        <v>46183</v>
      </c>
    </row>
    <row r="280" spans="1:13" x14ac:dyDescent="0.25">
      <c r="A280" t="s">
        <v>21</v>
      </c>
      <c r="B280" s="1">
        <v>46183</v>
      </c>
      <c r="C280" t="s">
        <v>131</v>
      </c>
      <c r="D280" t="s">
        <v>131</v>
      </c>
      <c r="E280" t="s">
        <v>15</v>
      </c>
      <c r="F280">
        <v>3</v>
      </c>
      <c r="G280">
        <v>100</v>
      </c>
      <c r="H280">
        <v>50</v>
      </c>
      <c r="I280">
        <f>H280*G280</f>
        <v>5000</v>
      </c>
      <c r="L280" t="s">
        <v>16</v>
      </c>
      <c r="M280" s="1">
        <v>46183</v>
      </c>
    </row>
    <row r="281" spans="1:13" x14ac:dyDescent="0.25">
      <c r="A281" t="s">
        <v>20</v>
      </c>
      <c r="B281" s="1">
        <v>46182</v>
      </c>
      <c r="C281" t="s">
        <v>132</v>
      </c>
      <c r="D281" t="s">
        <v>132</v>
      </c>
      <c r="E281" t="s">
        <v>48</v>
      </c>
      <c r="F281">
        <v>2</v>
      </c>
      <c r="G281">
        <v>250</v>
      </c>
      <c r="H281">
        <v>42</v>
      </c>
      <c r="I281">
        <f>H281*G281</f>
        <v>10500</v>
      </c>
      <c r="L281" t="s">
        <v>16</v>
      </c>
      <c r="M281" s="1">
        <v>46181</v>
      </c>
    </row>
    <row r="282" spans="1:13" x14ac:dyDescent="0.25">
      <c r="A282" t="s">
        <v>42</v>
      </c>
      <c r="B282" s="1">
        <v>46178</v>
      </c>
      <c r="C282" t="s">
        <v>133</v>
      </c>
      <c r="D282" t="s">
        <v>133</v>
      </c>
      <c r="E282" t="s">
        <v>15</v>
      </c>
      <c r="F282">
        <v>5</v>
      </c>
      <c r="G282">
        <v>130</v>
      </c>
      <c r="H282">
        <v>23</v>
      </c>
      <c r="I282">
        <v>2990</v>
      </c>
      <c r="L282" t="s">
        <v>16</v>
      </c>
      <c r="M282" s="1">
        <v>46178</v>
      </c>
    </row>
    <row r="283" spans="1:13" x14ac:dyDescent="0.25">
      <c r="A283" t="s">
        <v>43</v>
      </c>
      <c r="B283" s="1">
        <v>46178</v>
      </c>
      <c r="C283" t="s">
        <v>133</v>
      </c>
      <c r="D283" t="s">
        <v>133</v>
      </c>
      <c r="E283" t="s">
        <v>15</v>
      </c>
      <c r="F283">
        <v>5</v>
      </c>
      <c r="G283">
        <v>130</v>
      </c>
      <c r="H283">
        <v>24</v>
      </c>
      <c r="I283">
        <v>3120</v>
      </c>
      <c r="L283" t="s">
        <v>16</v>
      </c>
      <c r="M283" s="1">
        <v>46178</v>
      </c>
    </row>
    <row r="284" spans="1:13" x14ac:dyDescent="0.25">
      <c r="A284" t="s">
        <v>44</v>
      </c>
      <c r="B284" s="1">
        <v>46178</v>
      </c>
      <c r="C284" t="s">
        <v>133</v>
      </c>
      <c r="D284" t="s">
        <v>133</v>
      </c>
      <c r="E284" t="s">
        <v>15</v>
      </c>
      <c r="F284">
        <v>5</v>
      </c>
      <c r="G284">
        <v>130</v>
      </c>
      <c r="H284">
        <v>14</v>
      </c>
      <c r="I284">
        <v>1820</v>
      </c>
      <c r="L284" t="s">
        <v>16</v>
      </c>
      <c r="M284" s="1">
        <v>46178</v>
      </c>
    </row>
    <row r="285" spans="1:13" x14ac:dyDescent="0.25">
      <c r="A285" t="s">
        <v>45</v>
      </c>
      <c r="B285" s="1">
        <v>46178</v>
      </c>
      <c r="C285" t="s">
        <v>133</v>
      </c>
      <c r="D285" t="s">
        <v>133</v>
      </c>
      <c r="E285" t="s">
        <v>15</v>
      </c>
      <c r="F285">
        <v>5</v>
      </c>
      <c r="G285">
        <v>130</v>
      </c>
      <c r="H285">
        <v>16</v>
      </c>
      <c r="I285">
        <v>2080</v>
      </c>
      <c r="L285" t="s">
        <v>16</v>
      </c>
      <c r="M285" s="1">
        <v>46178</v>
      </c>
    </row>
    <row r="286" spans="1:13" x14ac:dyDescent="0.25">
      <c r="A286" t="s">
        <v>13</v>
      </c>
      <c r="B286" s="1">
        <v>46181</v>
      </c>
      <c r="C286" t="s">
        <v>134</v>
      </c>
      <c r="D286" t="s">
        <v>134</v>
      </c>
      <c r="E286" t="s">
        <v>63</v>
      </c>
      <c r="F286">
        <v>1</v>
      </c>
      <c r="G286">
        <v>1</v>
      </c>
      <c r="H286">
        <v>1</v>
      </c>
      <c r="I286">
        <f>H286*G286</f>
        <v>1</v>
      </c>
      <c r="J286" t="s">
        <v>135</v>
      </c>
      <c r="L286" t="s">
        <v>16</v>
      </c>
      <c r="M286" s="1">
        <v>46181</v>
      </c>
    </row>
    <row r="287" spans="1:13" x14ac:dyDescent="0.25">
      <c r="A287" t="s">
        <v>13</v>
      </c>
      <c r="B287" s="1">
        <v>46185</v>
      </c>
      <c r="C287" t="s">
        <v>134</v>
      </c>
      <c r="D287" t="s">
        <v>134</v>
      </c>
      <c r="E287" t="s">
        <v>63</v>
      </c>
      <c r="F287">
        <v>5</v>
      </c>
      <c r="G287">
        <v>1</v>
      </c>
      <c r="H287">
        <v>1</v>
      </c>
      <c r="I287">
        <f>H287*G287</f>
        <v>1</v>
      </c>
      <c r="J287" t="s">
        <v>135</v>
      </c>
      <c r="L287" t="s">
        <v>16</v>
      </c>
      <c r="M287" s="1">
        <v>46183</v>
      </c>
    </row>
    <row r="288" spans="1:13" x14ac:dyDescent="0.25">
      <c r="A288" t="s">
        <v>22</v>
      </c>
      <c r="B288" s="1">
        <v>46184</v>
      </c>
      <c r="C288" t="s">
        <v>134</v>
      </c>
      <c r="D288" t="s">
        <v>134</v>
      </c>
      <c r="E288" t="s">
        <v>24</v>
      </c>
      <c r="F288">
        <v>4</v>
      </c>
      <c r="G288">
        <v>1</v>
      </c>
      <c r="H288">
        <v>24</v>
      </c>
      <c r="I288">
        <f>H288*G288</f>
        <v>24</v>
      </c>
      <c r="L288" t="s">
        <v>16</v>
      </c>
      <c r="M288" s="1">
        <v>46183</v>
      </c>
    </row>
    <row r="289" spans="1:13" x14ac:dyDescent="0.25">
      <c r="A289" t="s">
        <v>13</v>
      </c>
      <c r="B289" s="1">
        <v>46181</v>
      </c>
      <c r="C289" t="s">
        <v>134</v>
      </c>
      <c r="D289" t="s">
        <v>134</v>
      </c>
      <c r="E289" t="s">
        <v>63</v>
      </c>
      <c r="F289">
        <v>1</v>
      </c>
      <c r="G289">
        <v>1</v>
      </c>
      <c r="H289">
        <v>1</v>
      </c>
      <c r="I289">
        <f>H289*G289</f>
        <v>1</v>
      </c>
      <c r="J289" t="s">
        <v>67</v>
      </c>
      <c r="L289" t="s">
        <v>16</v>
      </c>
      <c r="M289" s="1">
        <v>46181</v>
      </c>
    </row>
    <row r="290" spans="1:13" x14ac:dyDescent="0.25">
      <c r="A290" t="s">
        <v>13</v>
      </c>
      <c r="B290" s="1">
        <v>46185</v>
      </c>
      <c r="C290" t="s">
        <v>134</v>
      </c>
      <c r="D290" t="s">
        <v>134</v>
      </c>
      <c r="E290" t="s">
        <v>63</v>
      </c>
      <c r="F290">
        <v>5</v>
      </c>
      <c r="G290">
        <v>1</v>
      </c>
      <c r="H290">
        <v>1</v>
      </c>
      <c r="I290">
        <f>H290*G290</f>
        <v>1</v>
      </c>
      <c r="J290" t="s">
        <v>67</v>
      </c>
      <c r="L290" t="s">
        <v>16</v>
      </c>
      <c r="M290" s="1">
        <v>46183</v>
      </c>
    </row>
    <row r="291" spans="1:13" x14ac:dyDescent="0.25">
      <c r="A291" t="s">
        <v>20</v>
      </c>
      <c r="B291" s="1">
        <v>46185</v>
      </c>
      <c r="C291" t="s">
        <v>134</v>
      </c>
      <c r="D291" t="s">
        <v>134</v>
      </c>
      <c r="E291" t="s">
        <v>25</v>
      </c>
      <c r="F291">
        <v>5</v>
      </c>
      <c r="G291">
        <v>1</v>
      </c>
      <c r="H291">
        <v>1</v>
      </c>
      <c r="I291">
        <f>H291*G291</f>
      </c>
      <c r="L291" t="s">
        <v>16</v>
      </c>
      <c r="M291" s="1">
        <v>46183</v>
      </c>
    </row>
    <row r="292" spans="1:13" x14ac:dyDescent="0.25">
      <c r="A292" t="s">
        <v>20</v>
      </c>
      <c r="B292" s="1">
        <v>46186</v>
      </c>
      <c r="C292" t="s">
        <v>134</v>
      </c>
      <c r="D292" t="s">
        <v>134</v>
      </c>
      <c r="E292" t="s">
        <v>25</v>
      </c>
      <c r="F292">
        <v>6</v>
      </c>
      <c r="G292">
        <v>1</v>
      </c>
      <c r="H292">
        <v>1</v>
      </c>
      <c r="I292">
        <f>H292*G292</f>
      </c>
      <c r="L292" t="s">
        <v>16</v>
      </c>
      <c r="M292" s="1">
        <v>46183</v>
      </c>
    </row>
    <row r="293" spans="1:13" x14ac:dyDescent="0.25">
      <c r="A293" t="s">
        <v>19</v>
      </c>
      <c r="B293" s="1">
        <v>46182</v>
      </c>
      <c r="C293" t="s">
        <v>136</v>
      </c>
      <c r="D293" t="s">
        <v>136</v>
      </c>
      <c r="E293" t="s">
        <v>63</v>
      </c>
      <c r="F293">
        <v>2</v>
      </c>
      <c r="G293">
        <v>300</v>
      </c>
      <c r="H293">
        <v>1</v>
      </c>
      <c r="I293">
        <f>H293*G293</f>
        <v>300</v>
      </c>
      <c r="J293" t="s">
        <v>137</v>
      </c>
      <c r="L293" t="s">
        <v>16</v>
      </c>
      <c r="M293" s="1">
        <v>46181</v>
      </c>
    </row>
    <row r="294" spans="1:13" x14ac:dyDescent="0.25">
      <c r="A294" t="s">
        <v>19</v>
      </c>
      <c r="B294" s="1">
        <v>46182</v>
      </c>
      <c r="C294" t="s">
        <v>136</v>
      </c>
      <c r="D294" t="s">
        <v>136</v>
      </c>
      <c r="E294" t="s">
        <v>63</v>
      </c>
      <c r="F294">
        <v>2</v>
      </c>
      <c r="G294">
        <v>300</v>
      </c>
      <c r="H294">
        <v>1</v>
      </c>
      <c r="I294">
        <f>H294*G294</f>
        <v>300</v>
      </c>
      <c r="J294" t="s">
        <v>108</v>
      </c>
      <c r="L294" t="s">
        <v>16</v>
      </c>
      <c r="M294" s="1">
        <v>46181</v>
      </c>
    </row>
    <row r="295" spans="1:13" x14ac:dyDescent="0.25">
      <c r="A295" t="s">
        <v>13</v>
      </c>
      <c r="B295" s="1">
        <v>46182</v>
      </c>
      <c r="C295" t="s">
        <v>138</v>
      </c>
      <c r="D295" t="s">
        <v>138</v>
      </c>
      <c r="E295" t="s">
        <v>63</v>
      </c>
      <c r="F295">
        <v>2</v>
      </c>
      <c r="G295">
        <v>300</v>
      </c>
      <c r="H295">
        <v>1</v>
      </c>
      <c r="I295">
        <f>H295*G295</f>
        <v>300</v>
      </c>
      <c r="J295" t="s">
        <v>97</v>
      </c>
      <c r="L295" t="s">
        <v>16</v>
      </c>
      <c r="M295" s="1">
        <v>46181</v>
      </c>
    </row>
    <row r="296" spans="1:13" x14ac:dyDescent="0.25">
      <c r="A296" t="s">
        <v>13</v>
      </c>
      <c r="B296" s="1">
        <v>46182</v>
      </c>
      <c r="C296" t="s">
        <v>138</v>
      </c>
      <c r="D296" t="s">
        <v>138</v>
      </c>
      <c r="E296" t="s">
        <v>63</v>
      </c>
      <c r="F296">
        <v>2</v>
      </c>
      <c r="G296">
        <v>300</v>
      </c>
      <c r="H296">
        <v>1</v>
      </c>
      <c r="I296">
        <f>H296*G296</f>
        <v>300</v>
      </c>
      <c r="J296" t="s">
        <v>98</v>
      </c>
      <c r="L296" t="s">
        <v>16</v>
      </c>
      <c r="M296" s="1">
        <v>46181</v>
      </c>
    </row>
    <row r="297" spans="1:13" x14ac:dyDescent="0.25">
      <c r="A297" t="s">
        <v>17</v>
      </c>
      <c r="B297" s="1">
        <v>46182</v>
      </c>
      <c r="C297" t="s">
        <v>138</v>
      </c>
      <c r="D297" t="s">
        <v>138</v>
      </c>
      <c r="E297" t="s">
        <v>63</v>
      </c>
      <c r="F297">
        <v>2</v>
      </c>
      <c r="G297">
        <v>300</v>
      </c>
      <c r="H297">
        <v>1</v>
      </c>
      <c r="I297">
        <f>H297*G297</f>
        <v>300</v>
      </c>
      <c r="J297" t="s">
        <v>139</v>
      </c>
      <c r="L297" t="s">
        <v>16</v>
      </c>
      <c r="M297" s="1">
        <v>46181</v>
      </c>
    </row>
    <row r="298" spans="1:13" x14ac:dyDescent="0.25">
      <c r="A298" t="s">
        <v>18</v>
      </c>
      <c r="B298" s="1">
        <v>46190</v>
      </c>
      <c r="C298" t="s">
        <v>138</v>
      </c>
      <c r="D298" t="s">
        <v>138</v>
      </c>
      <c r="E298" t="s">
        <v>63</v>
      </c>
      <c r="F298">
        <v>2</v>
      </c>
      <c r="G298">
        <v>250</v>
      </c>
      <c r="H298">
        <v>1</v>
      </c>
      <c r="I298">
        <f>H298*G298</f>
        <v>250</v>
      </c>
      <c r="J298" t="s">
        <v>140</v>
      </c>
      <c r="K298" t="s">
        <v>16</v>
      </c>
      <c r="M298" s="1">
        <v>46188</v>
      </c>
    </row>
    <row r="299" spans="1:13" x14ac:dyDescent="0.25">
      <c r="A299" t="s">
        <v>21</v>
      </c>
      <c r="B299" s="1">
        <v>46182</v>
      </c>
      <c r="C299" t="s">
        <v>138</v>
      </c>
      <c r="D299" t="s">
        <v>138</v>
      </c>
      <c r="E299" t="s">
        <v>63</v>
      </c>
      <c r="F299">
        <v>2</v>
      </c>
      <c r="G299">
        <v>300</v>
      </c>
      <c r="H299">
        <v>1</v>
      </c>
      <c r="I299">
        <f>H299*G299</f>
        <v>300</v>
      </c>
      <c r="J299" t="s">
        <v>110</v>
      </c>
      <c r="L299" t="s">
        <v>16</v>
      </c>
      <c r="M299" s="1">
        <v>46181</v>
      </c>
    </row>
    <row r="300" spans="1:13" x14ac:dyDescent="0.25">
      <c r="A300" t="s">
        <v>13</v>
      </c>
      <c r="B300" s="1">
        <v>46182</v>
      </c>
      <c r="C300" t="s">
        <v>141</v>
      </c>
      <c r="D300" t="s">
        <v>141</v>
      </c>
      <c r="E300" t="s">
        <v>63</v>
      </c>
      <c r="F300">
        <v>2</v>
      </c>
      <c r="G300">
        <v>300</v>
      </c>
      <c r="H300">
        <v>1</v>
      </c>
      <c r="I300">
        <f>H300*G300</f>
        <v>300</v>
      </c>
      <c r="J300" t="s">
        <v>114</v>
      </c>
      <c r="L300" t="s">
        <v>16</v>
      </c>
      <c r="M300" s="1">
        <v>46181</v>
      </c>
    </row>
    <row r="301" spans="1:13" x14ac:dyDescent="0.25">
      <c r="A301" t="s">
        <v>13</v>
      </c>
      <c r="B301" s="1">
        <v>46183</v>
      </c>
      <c r="C301" t="s">
        <v>142</v>
      </c>
      <c r="D301" t="s">
        <v>142</v>
      </c>
      <c r="E301" t="s">
        <v>15</v>
      </c>
      <c r="F301">
        <v>3</v>
      </c>
      <c r="G301" s="4">
        <f>1/6</f>
        <v>0.16666666666666666</v>
      </c>
      <c r="H301">
        <v>27</v>
      </c>
      <c r="I301" s="2">
        <f>H301*G301</f>
        <v>4.5</v>
      </c>
      <c r="L301" t="s">
        <v>16</v>
      </c>
      <c r="M301" s="1">
        <v>46183</v>
      </c>
    </row>
    <row r="302" spans="1:13" x14ac:dyDescent="0.25">
      <c r="A302" t="s">
        <v>17</v>
      </c>
      <c r="B302" s="1">
        <v>46183</v>
      </c>
      <c r="C302" t="s">
        <v>142</v>
      </c>
      <c r="D302" t="s">
        <v>142</v>
      </c>
      <c r="E302" t="s">
        <v>15</v>
      </c>
      <c r="F302">
        <v>3</v>
      </c>
      <c r="G302" s="4">
        <f>1/6</f>
        <v>0.16666666666666666</v>
      </c>
      <c r="H302">
        <v>20</v>
      </c>
      <c r="I302" s="2">
        <v>4</v>
      </c>
      <c r="L302" t="s">
        <v>16</v>
      </c>
      <c r="M302" s="1">
        <v>46183</v>
      </c>
    </row>
    <row r="303" spans="1:13" x14ac:dyDescent="0.25">
      <c r="A303" t="s">
        <v>18</v>
      </c>
      <c r="B303" s="1">
        <v>46191</v>
      </c>
      <c r="C303" t="s">
        <v>142</v>
      </c>
      <c r="D303" t="s">
        <v>142</v>
      </c>
      <c r="E303" t="s">
        <v>15</v>
      </c>
      <c r="F303">
        <v>3</v>
      </c>
      <c r="G303" s="4">
        <v>0.16666666666666666</v>
      </c>
      <c r="H303">
        <v>9</v>
      </c>
      <c r="I303" s="2">
        <f>H303*G303</f>
        <v>1.5</v>
      </c>
      <c r="L303" t="s">
        <v>16</v>
      </c>
      <c r="M303" s="1">
        <v>46188</v>
      </c>
    </row>
    <row r="304" spans="1:13" x14ac:dyDescent="0.25">
      <c r="A304" t="s">
        <v>19</v>
      </c>
      <c r="B304" s="1">
        <v>46183</v>
      </c>
      <c r="C304" t="s">
        <v>142</v>
      </c>
      <c r="D304" t="s">
        <v>142</v>
      </c>
      <c r="E304" t="s">
        <v>15</v>
      </c>
      <c r="F304">
        <v>3</v>
      </c>
      <c r="G304" s="4">
        <f>1/6</f>
        <v>0.16666666666666666</v>
      </c>
      <c r="H304">
        <v>1</v>
      </c>
      <c r="I304" s="2">
        <f>H304*G304</f>
      </c>
      <c r="L304" t="s">
        <v>16</v>
      </c>
      <c r="M304" s="1">
        <v>46183</v>
      </c>
    </row>
    <row r="305" spans="1:13" x14ac:dyDescent="0.25">
      <c r="A305" t="s">
        <v>20</v>
      </c>
      <c r="B305" s="1">
        <v>46183</v>
      </c>
      <c r="C305" t="s">
        <v>142</v>
      </c>
      <c r="D305" t="s">
        <v>142</v>
      </c>
      <c r="E305" t="s">
        <v>15</v>
      </c>
      <c r="F305">
        <v>3</v>
      </c>
      <c r="G305" s="4">
        <v>0.16666666666666666</v>
      </c>
      <c r="H305">
        <v>1</v>
      </c>
      <c r="I305" s="2">
        <f>H305*G305</f>
      </c>
      <c r="L305" t="s">
        <v>16</v>
      </c>
      <c r="M305" s="1">
        <v>46183</v>
      </c>
    </row>
    <row r="306" spans="1:13" x14ac:dyDescent="0.25">
      <c r="A306" t="s">
        <v>21</v>
      </c>
      <c r="B306" s="1">
        <v>46183</v>
      </c>
      <c r="C306" t="s">
        <v>142</v>
      </c>
      <c r="D306" t="s">
        <v>142</v>
      </c>
      <c r="E306" t="s">
        <v>15</v>
      </c>
      <c r="F306">
        <v>3</v>
      </c>
      <c r="G306" s="4">
        <f>1/6</f>
        <v>0.16666666666666666</v>
      </c>
      <c r="H306">
        <v>50</v>
      </c>
      <c r="I306" s="2">
        <v>9</v>
      </c>
      <c r="L306" t="s">
        <v>16</v>
      </c>
      <c r="M306" s="1">
        <v>46183</v>
      </c>
    </row>
    <row r="307" spans="1:13" x14ac:dyDescent="0.25">
      <c r="A307" t="s">
        <v>42</v>
      </c>
      <c r="B307" s="1">
        <v>46179</v>
      </c>
      <c r="C307" t="s">
        <v>143</v>
      </c>
      <c r="D307" t="s">
        <v>143</v>
      </c>
      <c r="E307" t="s">
        <v>15</v>
      </c>
      <c r="F307">
        <v>6</v>
      </c>
      <c r="G307">
        <v>91</v>
      </c>
      <c r="H307">
        <v>23</v>
      </c>
      <c r="I307">
        <v>2093</v>
      </c>
      <c r="L307" t="s">
        <v>16</v>
      </c>
      <c r="M307" s="1">
        <v>46178</v>
      </c>
    </row>
    <row r="308" spans="1:13" x14ac:dyDescent="0.25">
      <c r="A308" t="s">
        <v>43</v>
      </c>
      <c r="B308" s="1">
        <v>46179</v>
      </c>
      <c r="C308" t="s">
        <v>143</v>
      </c>
      <c r="D308" t="s">
        <v>143</v>
      </c>
      <c r="E308" t="s">
        <v>15</v>
      </c>
      <c r="F308">
        <v>6</v>
      </c>
      <c r="G308">
        <v>91</v>
      </c>
      <c r="H308">
        <v>23</v>
      </c>
      <c r="I308">
        <v>2093</v>
      </c>
      <c r="L308" t="s">
        <v>16</v>
      </c>
      <c r="M308" s="1">
        <v>46178</v>
      </c>
    </row>
    <row r="309" spans="1:13" x14ac:dyDescent="0.25">
      <c r="A309" t="s">
        <v>44</v>
      </c>
      <c r="B309" s="1">
        <v>46179</v>
      </c>
      <c r="C309" t="s">
        <v>143</v>
      </c>
      <c r="D309" t="s">
        <v>143</v>
      </c>
      <c r="E309" t="s">
        <v>15</v>
      </c>
      <c r="F309">
        <v>6</v>
      </c>
      <c r="G309">
        <v>91</v>
      </c>
      <c r="H309">
        <v>14</v>
      </c>
      <c r="I309">
        <v>1274</v>
      </c>
      <c r="L309" t="s">
        <v>16</v>
      </c>
      <c r="M309" s="1">
        <v>46178</v>
      </c>
    </row>
    <row r="310" spans="1:13" x14ac:dyDescent="0.25">
      <c r="A310" t="s">
        <v>45</v>
      </c>
      <c r="B310" s="1">
        <v>46179</v>
      </c>
      <c r="C310" t="s">
        <v>143</v>
      </c>
      <c r="D310" t="s">
        <v>143</v>
      </c>
      <c r="E310" t="s">
        <v>15</v>
      </c>
      <c r="F310">
        <v>6</v>
      </c>
      <c r="G310">
        <v>91</v>
      </c>
      <c r="H310">
        <v>15</v>
      </c>
      <c r="I310">
        <v>1365</v>
      </c>
      <c r="L310" t="s">
        <v>16</v>
      </c>
      <c r="M310" s="1">
        <v>46178</v>
      </c>
    </row>
    <row r="311" spans="1:13" x14ac:dyDescent="0.25">
      <c r="A311" t="s">
        <v>42</v>
      </c>
      <c r="B311" s="1">
        <v>46178</v>
      </c>
      <c r="C311" t="s">
        <v>144</v>
      </c>
      <c r="D311" t="s">
        <v>144</v>
      </c>
      <c r="E311" t="s">
        <v>15</v>
      </c>
      <c r="F311">
        <v>5</v>
      </c>
      <c r="G311" s="2">
        <v>2.6</v>
      </c>
      <c r="H311">
        <v>23</v>
      </c>
      <c r="I311" s="2">
        <v>59.800000000000004</v>
      </c>
      <c r="L311" t="s">
        <v>16</v>
      </c>
      <c r="M311" s="1">
        <v>46178</v>
      </c>
    </row>
    <row r="312" spans="1:13" x14ac:dyDescent="0.25">
      <c r="A312" t="s">
        <v>43</v>
      </c>
      <c r="B312" s="1">
        <v>46178</v>
      </c>
      <c r="C312" t="s">
        <v>144</v>
      </c>
      <c r="D312" t="s">
        <v>144</v>
      </c>
      <c r="E312" t="s">
        <v>15</v>
      </c>
      <c r="F312">
        <v>5</v>
      </c>
      <c r="G312" s="2">
        <v>2.6</v>
      </c>
      <c r="H312">
        <v>24</v>
      </c>
      <c r="I312">
        <v>63</v>
      </c>
      <c r="L312" t="s">
        <v>16</v>
      </c>
      <c r="M312" s="1">
        <v>46178</v>
      </c>
    </row>
    <row r="313" spans="1:13" x14ac:dyDescent="0.25">
      <c r="A313" t="s">
        <v>44</v>
      </c>
      <c r="B313" s="1">
        <v>46178</v>
      </c>
      <c r="C313" t="s">
        <v>144</v>
      </c>
      <c r="D313" t="s">
        <v>144</v>
      </c>
      <c r="E313" t="s">
        <v>15</v>
      </c>
      <c r="F313">
        <v>5</v>
      </c>
      <c r="G313" s="2">
        <v>2.6</v>
      </c>
      <c r="H313">
        <v>14</v>
      </c>
      <c r="I313">
        <v>37</v>
      </c>
      <c r="L313" t="s">
        <v>16</v>
      </c>
      <c r="M313" s="1">
        <v>46178</v>
      </c>
    </row>
    <row r="314" spans="1:13" x14ac:dyDescent="0.25">
      <c r="A314" t="s">
        <v>45</v>
      </c>
      <c r="B314" s="1">
        <v>46178</v>
      </c>
      <c r="C314" t="s">
        <v>144</v>
      </c>
      <c r="D314" t="s">
        <v>144</v>
      </c>
      <c r="E314" t="s">
        <v>15</v>
      </c>
      <c r="F314">
        <v>5</v>
      </c>
      <c r="G314" s="2">
        <v>2.6</v>
      </c>
      <c r="H314">
        <v>16</v>
      </c>
      <c r="I314" s="2">
        <v>41.6</v>
      </c>
      <c r="L314" t="s">
        <v>16</v>
      </c>
      <c r="M314" s="1">
        <v>46178</v>
      </c>
    </row>
    <row r="315" spans="1:13" x14ac:dyDescent="0.25">
      <c r="A315" t="s">
        <v>13</v>
      </c>
      <c r="B315" s="1">
        <v>46185</v>
      </c>
      <c r="C315" t="s">
        <v>145</v>
      </c>
      <c r="D315" t="s">
        <v>145</v>
      </c>
      <c r="E315" t="s">
        <v>15</v>
      </c>
      <c r="F315">
        <v>5</v>
      </c>
      <c r="G315">
        <v>300</v>
      </c>
      <c r="H315">
        <v>21</v>
      </c>
      <c r="I315">
        <f>H315*G315</f>
        <v>6300</v>
      </c>
      <c r="L315" t="s">
        <v>16</v>
      </c>
      <c r="M315" s="1">
        <v>46183</v>
      </c>
    </row>
    <row r="316" spans="1:13" x14ac:dyDescent="0.25">
      <c r="A316" t="s">
        <v>17</v>
      </c>
      <c r="B316" s="1">
        <v>46185</v>
      </c>
      <c r="C316" t="s">
        <v>145</v>
      </c>
      <c r="D316" t="s">
        <v>145</v>
      </c>
      <c r="E316" t="s">
        <v>15</v>
      </c>
      <c r="F316">
        <v>5</v>
      </c>
      <c r="G316">
        <v>300</v>
      </c>
      <c r="H316">
        <v>21</v>
      </c>
      <c r="I316">
        <f>H316*G316</f>
        <v>6300</v>
      </c>
      <c r="L316" t="s">
        <v>16</v>
      </c>
      <c r="M316" s="1">
        <v>46183</v>
      </c>
    </row>
    <row r="317" spans="1:13" x14ac:dyDescent="0.25">
      <c r="A317" t="s">
        <v>50</v>
      </c>
      <c r="B317" s="1">
        <v>46186</v>
      </c>
      <c r="C317" t="s">
        <v>145</v>
      </c>
      <c r="D317" t="s">
        <v>145</v>
      </c>
      <c r="E317" t="s">
        <v>15</v>
      </c>
      <c r="F317">
        <v>6</v>
      </c>
      <c r="G317">
        <v>300</v>
      </c>
      <c r="H317">
        <v>12</v>
      </c>
      <c r="I317">
        <f>H317*G317</f>
        <v>3600</v>
      </c>
      <c r="L317" t="s">
        <v>16</v>
      </c>
      <c r="M317" s="1">
        <v>46183</v>
      </c>
    </row>
    <row r="318" spans="1:13" x14ac:dyDescent="0.25">
      <c r="A318" t="s">
        <v>19</v>
      </c>
      <c r="B318" s="1">
        <v>46185</v>
      </c>
      <c r="C318" t="s">
        <v>145</v>
      </c>
      <c r="D318" t="s">
        <v>145</v>
      </c>
      <c r="E318" t="s">
        <v>15</v>
      </c>
      <c r="F318">
        <v>5</v>
      </c>
      <c r="G318">
        <v>300</v>
      </c>
      <c r="H318">
        <v>20</v>
      </c>
      <c r="I318">
        <f>H318*G318</f>
        <v>6000</v>
      </c>
      <c r="L318" t="s">
        <v>16</v>
      </c>
      <c r="M318" s="1">
        <v>46183</v>
      </c>
    </row>
    <row r="319" spans="1:13" x14ac:dyDescent="0.25">
      <c r="A319" t="s">
        <v>20</v>
      </c>
      <c r="B319" s="1">
        <v>46185</v>
      </c>
      <c r="C319" t="s">
        <v>145</v>
      </c>
      <c r="D319" t="s">
        <v>145</v>
      </c>
      <c r="E319" t="s">
        <v>15</v>
      </c>
      <c r="F319">
        <v>5</v>
      </c>
      <c r="G319">
        <v>300</v>
      </c>
      <c r="H319">
        <v>1</v>
      </c>
      <c r="I319">
        <f>H319*G319</f>
      </c>
      <c r="L319" t="s">
        <v>16</v>
      </c>
      <c r="M319" s="1">
        <v>46183</v>
      </c>
    </row>
    <row r="320" spans="1:13" x14ac:dyDescent="0.25">
      <c r="A320" t="s">
        <v>20</v>
      </c>
      <c r="B320" s="1">
        <v>46186</v>
      </c>
      <c r="C320" t="s">
        <v>145</v>
      </c>
      <c r="D320" t="s">
        <v>145</v>
      </c>
      <c r="E320" t="s">
        <v>15</v>
      </c>
      <c r="F320">
        <v>6</v>
      </c>
      <c r="G320">
        <v>300</v>
      </c>
      <c r="H320">
        <v>1</v>
      </c>
      <c r="I320">
        <f>H320*G320</f>
      </c>
      <c r="L320" t="s">
        <v>16</v>
      </c>
      <c r="M320" s="1">
        <v>46183</v>
      </c>
    </row>
    <row r="321" spans="1:13" x14ac:dyDescent="0.25">
      <c r="A321" t="s">
        <v>21</v>
      </c>
      <c r="B321" s="1">
        <v>46185</v>
      </c>
      <c r="C321" t="s">
        <v>145</v>
      </c>
      <c r="D321" t="s">
        <v>145</v>
      </c>
      <c r="E321" t="s">
        <v>15</v>
      </c>
      <c r="F321">
        <v>5</v>
      </c>
      <c r="G321">
        <v>300</v>
      </c>
      <c r="H321">
        <v>43</v>
      </c>
      <c r="I321">
        <f>H321*G321</f>
        <v>12900</v>
      </c>
      <c r="L321" t="s">
        <v>16</v>
      </c>
      <c r="M321" s="1">
        <v>46183</v>
      </c>
    </row>
    <row r="322" spans="1:13" x14ac:dyDescent="0.25">
      <c r="A322" t="s">
        <v>13</v>
      </c>
      <c r="B322" s="1">
        <v>46185</v>
      </c>
      <c r="C322" t="s">
        <v>146</v>
      </c>
      <c r="D322" t="s">
        <v>146</v>
      </c>
      <c r="E322" t="s">
        <v>63</v>
      </c>
      <c r="F322">
        <v>5</v>
      </c>
      <c r="G322">
        <v>300</v>
      </c>
      <c r="H322">
        <v>1</v>
      </c>
      <c r="I322">
        <f>H322*G322</f>
        <v>300</v>
      </c>
      <c r="J322" t="s">
        <v>67</v>
      </c>
      <c r="L322" t="s">
        <v>16</v>
      </c>
      <c r="M322" s="1">
        <v>46183</v>
      </c>
    </row>
    <row r="323" spans="1:13" x14ac:dyDescent="0.25">
      <c r="A323" t="s">
        <v>22</v>
      </c>
      <c r="B323" s="1">
        <v>46184</v>
      </c>
      <c r="C323" t="s">
        <v>147</v>
      </c>
      <c r="D323" t="s">
        <v>147</v>
      </c>
      <c r="E323" t="s">
        <v>25</v>
      </c>
      <c r="F323">
        <v>4</v>
      </c>
      <c r="G323">
        <v>1</v>
      </c>
      <c r="H323">
        <v>24</v>
      </c>
      <c r="I323">
        <f>H323*G323</f>
        <v>24</v>
      </c>
      <c r="L323" t="s">
        <v>16</v>
      </c>
      <c r="M323" s="1">
        <v>46183</v>
      </c>
    </row>
    <row r="324" spans="1:13" x14ac:dyDescent="0.25">
      <c r="A324" t="s">
        <v>21</v>
      </c>
      <c r="B324" s="1">
        <v>46183</v>
      </c>
      <c r="C324" t="s">
        <v>148</v>
      </c>
      <c r="D324" t="s">
        <v>148</v>
      </c>
      <c r="E324" t="s">
        <v>63</v>
      </c>
      <c r="F324">
        <v>3</v>
      </c>
      <c r="G324">
        <v>1</v>
      </c>
      <c r="H324">
        <v>1</v>
      </c>
      <c r="I324">
        <f>H324*G324</f>
        <v>1</v>
      </c>
      <c r="J324" t="s">
        <v>110</v>
      </c>
      <c r="L324" t="s">
        <v>16</v>
      </c>
      <c r="M324" s="1">
        <v>46183</v>
      </c>
    </row>
    <row r="325" spans="1:13" x14ac:dyDescent="0.25">
      <c r="A325" t="s">
        <v>21</v>
      </c>
      <c r="B325" s="1">
        <v>46183</v>
      </c>
      <c r="C325" t="s">
        <v>148</v>
      </c>
      <c r="D325" t="s">
        <v>148</v>
      </c>
      <c r="E325" t="s">
        <v>63</v>
      </c>
      <c r="F325">
        <v>3</v>
      </c>
      <c r="G325">
        <v>1</v>
      </c>
      <c r="H325">
        <v>1</v>
      </c>
      <c r="I325">
        <f>H325*G325</f>
        <v>1</v>
      </c>
      <c r="J325" t="s">
        <v>110</v>
      </c>
      <c r="L325" t="s">
        <v>16</v>
      </c>
      <c r="M325" s="1">
        <v>46183</v>
      </c>
    </row>
    <row r="326" spans="1:13" x14ac:dyDescent="0.25">
      <c r="A326" t="s">
        <v>13</v>
      </c>
      <c r="B326" s="1">
        <v>46181</v>
      </c>
      <c r="C326" t="s">
        <v>149</v>
      </c>
      <c r="D326" t="s">
        <v>149</v>
      </c>
      <c r="E326" t="s">
        <v>63</v>
      </c>
      <c r="F326">
        <v>1</v>
      </c>
      <c r="G326">
        <v>300</v>
      </c>
      <c r="H326">
        <v>1</v>
      </c>
      <c r="I326">
        <f>H326*G326</f>
        <v>300</v>
      </c>
      <c r="J326" t="s">
        <v>67</v>
      </c>
      <c r="L326" t="s">
        <v>16</v>
      </c>
      <c r="M326" s="1">
        <v>46181</v>
      </c>
    </row>
    <row r="327" spans="1:13" x14ac:dyDescent="0.25">
      <c r="A327" t="s">
        <v>13</v>
      </c>
      <c r="B327" s="1">
        <v>46182</v>
      </c>
      <c r="C327" t="s">
        <v>149</v>
      </c>
      <c r="D327" t="s">
        <v>149</v>
      </c>
      <c r="E327" t="s">
        <v>15</v>
      </c>
      <c r="F327">
        <v>2</v>
      </c>
      <c r="G327">
        <v>300</v>
      </c>
      <c r="H327">
        <v>25</v>
      </c>
      <c r="I327">
        <f>H327*G327</f>
        <v>7500</v>
      </c>
      <c r="L327" t="s">
        <v>16</v>
      </c>
      <c r="M327" s="1">
        <v>46181</v>
      </c>
    </row>
    <row r="328" spans="1:13" x14ac:dyDescent="0.25">
      <c r="A328" t="s">
        <v>17</v>
      </c>
      <c r="B328" s="1">
        <v>46182</v>
      </c>
      <c r="C328" t="s">
        <v>149</v>
      </c>
      <c r="D328" t="s">
        <v>149</v>
      </c>
      <c r="E328" t="s">
        <v>15</v>
      </c>
      <c r="F328">
        <v>2</v>
      </c>
      <c r="G328">
        <v>300</v>
      </c>
      <c r="H328">
        <v>14</v>
      </c>
      <c r="I328">
        <f>H328*G328</f>
        <v>4200</v>
      </c>
      <c r="L328" t="s">
        <v>16</v>
      </c>
      <c r="M328" s="1">
        <v>46181</v>
      </c>
    </row>
    <row r="329" spans="1:13" x14ac:dyDescent="0.25">
      <c r="A329" t="s">
        <v>18</v>
      </c>
      <c r="B329" s="1">
        <v>46190</v>
      </c>
      <c r="C329" t="s">
        <v>149</v>
      </c>
      <c r="D329" t="s">
        <v>149</v>
      </c>
      <c r="E329" t="s">
        <v>15</v>
      </c>
      <c r="F329">
        <v>2</v>
      </c>
      <c r="G329">
        <v>250</v>
      </c>
      <c r="H329">
        <v>7</v>
      </c>
      <c r="I329">
        <f>H329*G329</f>
        <v>1750</v>
      </c>
      <c r="K329" t="s">
        <v>16</v>
      </c>
      <c r="M329" s="1">
        <v>46188</v>
      </c>
    </row>
    <row r="330" spans="1:13" x14ac:dyDescent="0.25">
      <c r="A330" t="s">
        <v>19</v>
      </c>
      <c r="B330" s="1">
        <v>46182</v>
      </c>
      <c r="C330" t="s">
        <v>149</v>
      </c>
      <c r="D330" t="s">
        <v>149</v>
      </c>
      <c r="E330" t="s">
        <v>15</v>
      </c>
      <c r="F330">
        <v>2</v>
      </c>
      <c r="G330">
        <v>300</v>
      </c>
      <c r="H330">
        <v>22</v>
      </c>
      <c r="I330">
        <f>H330*G330</f>
        <v>6600</v>
      </c>
      <c r="L330" t="s">
        <v>16</v>
      </c>
      <c r="M330" s="1">
        <v>46181</v>
      </c>
    </row>
    <row r="331" spans="1:13" x14ac:dyDescent="0.25">
      <c r="A331" t="s">
        <v>20</v>
      </c>
      <c r="B331" s="1">
        <v>46182</v>
      </c>
      <c r="C331" t="s">
        <v>149</v>
      </c>
      <c r="D331" t="s">
        <v>149</v>
      </c>
      <c r="E331" t="s">
        <v>15</v>
      </c>
      <c r="F331">
        <v>2</v>
      </c>
      <c r="G331">
        <v>300</v>
      </c>
      <c r="H331">
        <v>41</v>
      </c>
      <c r="I331">
        <f>H331*G331</f>
        <v>12300</v>
      </c>
      <c r="L331" t="s">
        <v>16</v>
      </c>
      <c r="M331" s="1">
        <v>46181</v>
      </c>
    </row>
    <row r="332" spans="1:13" x14ac:dyDescent="0.25">
      <c r="A332" t="s">
        <v>21</v>
      </c>
      <c r="B332" s="1">
        <v>46182</v>
      </c>
      <c r="C332" t="s">
        <v>149</v>
      </c>
      <c r="D332" t="s">
        <v>149</v>
      </c>
      <c r="E332" t="s">
        <v>15</v>
      </c>
      <c r="F332">
        <v>2</v>
      </c>
      <c r="G332">
        <v>300</v>
      </c>
      <c r="H332">
        <v>49</v>
      </c>
      <c r="I332">
        <f>H332*G332</f>
        <v>14700</v>
      </c>
      <c r="L332" t="s">
        <v>16</v>
      </c>
      <c r="M332" s="1">
        <v>46181</v>
      </c>
    </row>
    <row r="333" spans="1:13" x14ac:dyDescent="0.25">
      <c r="A333" t="s">
        <v>20</v>
      </c>
      <c r="B333" s="1">
        <v>46182</v>
      </c>
      <c r="C333" t="s">
        <v>150</v>
      </c>
      <c r="D333" t="s">
        <v>150</v>
      </c>
      <c r="E333" t="s">
        <v>63</v>
      </c>
      <c r="F333">
        <v>2</v>
      </c>
      <c r="G333">
        <v>300</v>
      </c>
      <c r="H333">
        <v>1</v>
      </c>
      <c r="I333">
        <f>H333*G333</f>
        <v>300</v>
      </c>
      <c r="J333" t="s">
        <v>29</v>
      </c>
      <c r="L333" t="s">
        <v>16</v>
      </c>
      <c r="M333" s="1">
        <v>46181</v>
      </c>
    </row>
    <row r="334" spans="1:13" x14ac:dyDescent="0.25">
      <c r="A334" t="s">
        <v>20</v>
      </c>
      <c r="B334" s="1">
        <v>46182</v>
      </c>
      <c r="C334" t="s">
        <v>150</v>
      </c>
      <c r="D334" t="s">
        <v>150</v>
      </c>
      <c r="E334" t="s">
        <v>63</v>
      </c>
      <c r="F334">
        <v>2</v>
      </c>
      <c r="G334">
        <v>300</v>
      </c>
      <c r="H334">
        <v>1</v>
      </c>
      <c r="I334">
        <f>H334*G334</f>
        <v>300</v>
      </c>
      <c r="J334" t="s">
        <v>30</v>
      </c>
      <c r="L334" t="s">
        <v>16</v>
      </c>
      <c r="M334" s="1">
        <v>46181</v>
      </c>
    </row>
    <row r="335" spans="1:13" x14ac:dyDescent="0.25">
      <c r="A335" t="s">
        <v>20</v>
      </c>
      <c r="B335" s="1">
        <v>46182</v>
      </c>
      <c r="C335" t="s">
        <v>150</v>
      </c>
      <c r="D335" t="s">
        <v>150</v>
      </c>
      <c r="E335" t="s">
        <v>63</v>
      </c>
      <c r="F335">
        <v>2</v>
      </c>
      <c r="G335">
        <v>300</v>
      </c>
      <c r="H335">
        <v>1</v>
      </c>
      <c r="I335">
        <f>H335*G335</f>
        <v>300</v>
      </c>
      <c r="J335" t="s">
        <v>31</v>
      </c>
      <c r="L335" t="s">
        <v>16</v>
      </c>
      <c r="M335" s="1">
        <v>46181</v>
      </c>
    </row>
    <row r="336" spans="1:13" x14ac:dyDescent="0.25">
      <c r="A336" t="s">
        <v>20</v>
      </c>
      <c r="B336" s="1">
        <v>46182</v>
      </c>
      <c r="C336" t="s">
        <v>150</v>
      </c>
      <c r="D336" t="s">
        <v>150</v>
      </c>
      <c r="E336" t="s">
        <v>63</v>
      </c>
      <c r="F336">
        <v>2</v>
      </c>
      <c r="G336">
        <v>300</v>
      </c>
      <c r="H336">
        <v>1</v>
      </c>
      <c r="I336">
        <f>H336*G336</f>
        <v>300</v>
      </c>
      <c r="J336" t="s">
        <v>32</v>
      </c>
      <c r="L336" t="s">
        <v>16</v>
      </c>
      <c r="M336" s="1">
        <v>46181</v>
      </c>
    </row>
    <row r="337" spans="1:13" x14ac:dyDescent="0.25">
      <c r="A337" t="s">
        <v>20</v>
      </c>
      <c r="B337" s="1">
        <v>46182</v>
      </c>
      <c r="C337" t="s">
        <v>150</v>
      </c>
      <c r="D337" t="s">
        <v>150</v>
      </c>
      <c r="E337" t="s">
        <v>63</v>
      </c>
      <c r="F337">
        <v>2</v>
      </c>
      <c r="G337">
        <v>300</v>
      </c>
      <c r="H337">
        <v>1</v>
      </c>
      <c r="I337">
        <f>H337*G337</f>
        <v>300</v>
      </c>
      <c r="J337" t="s">
        <v>34</v>
      </c>
      <c r="L337" t="s">
        <v>16</v>
      </c>
      <c r="M337" s="1">
        <v>46181</v>
      </c>
    </row>
    <row r="338" spans="1:13" x14ac:dyDescent="0.25">
      <c r="A338" t="s">
        <v>20</v>
      </c>
      <c r="B338" s="1">
        <v>46182</v>
      </c>
      <c r="C338" t="s">
        <v>150</v>
      </c>
      <c r="D338" t="s">
        <v>150</v>
      </c>
      <c r="E338" t="s">
        <v>63</v>
      </c>
      <c r="F338">
        <v>2</v>
      </c>
      <c r="G338">
        <v>300</v>
      </c>
      <c r="H338">
        <v>1</v>
      </c>
      <c r="I338">
        <f>H338*G338</f>
        <v>300</v>
      </c>
      <c r="J338" t="s">
        <v>29</v>
      </c>
      <c r="L338" t="s">
        <v>16</v>
      </c>
      <c r="M338" s="1">
        <v>46181</v>
      </c>
    </row>
    <row r="339" spans="1:13" x14ac:dyDescent="0.25">
      <c r="A339" t="s">
        <v>20</v>
      </c>
      <c r="B339" s="1">
        <v>46182</v>
      </c>
      <c r="C339" t="s">
        <v>150</v>
      </c>
      <c r="D339" t="s">
        <v>150</v>
      </c>
      <c r="E339" t="s">
        <v>63</v>
      </c>
      <c r="F339">
        <v>2</v>
      </c>
      <c r="G339">
        <v>300</v>
      </c>
      <c r="H339">
        <v>1</v>
      </c>
      <c r="I339">
        <f>H339*G339</f>
        <v>300</v>
      </c>
      <c r="J339" t="s">
        <v>29</v>
      </c>
      <c r="L339" t="s">
        <v>16</v>
      </c>
      <c r="M339" s="1">
        <v>46181</v>
      </c>
    </row>
    <row r="340" spans="1:13" x14ac:dyDescent="0.25">
      <c r="A340" t="s">
        <v>42</v>
      </c>
      <c r="B340" s="1">
        <v>46178</v>
      </c>
      <c r="C340" t="s">
        <v>151</v>
      </c>
      <c r="D340" t="s">
        <v>151</v>
      </c>
      <c r="E340" t="s">
        <v>15</v>
      </c>
      <c r="F340">
        <v>5</v>
      </c>
      <c r="G340">
        <v>1.3</v>
      </c>
      <c r="H340">
        <v>22</v>
      </c>
      <c r="I340" s="2">
        <v>28.6</v>
      </c>
      <c r="L340" t="s">
        <v>16</v>
      </c>
      <c r="M340" s="1">
        <v>46178</v>
      </c>
    </row>
    <row r="341" spans="1:13" x14ac:dyDescent="0.25">
      <c r="A341" t="s">
        <v>43</v>
      </c>
      <c r="B341" s="1">
        <v>46178</v>
      </c>
      <c r="C341" t="s">
        <v>151</v>
      </c>
      <c r="D341" t="s">
        <v>151</v>
      </c>
      <c r="E341" t="s">
        <v>15</v>
      </c>
      <c r="F341">
        <v>5</v>
      </c>
      <c r="G341">
        <v>1.3</v>
      </c>
      <c r="H341">
        <v>23</v>
      </c>
      <c r="I341">
        <v>32</v>
      </c>
      <c r="L341" t="s">
        <v>16</v>
      </c>
      <c r="M341" s="1">
        <v>46178</v>
      </c>
    </row>
    <row r="342" spans="1:13" x14ac:dyDescent="0.25">
      <c r="A342" t="s">
        <v>44</v>
      </c>
      <c r="B342" s="1">
        <v>46178</v>
      </c>
      <c r="C342" t="s">
        <v>151</v>
      </c>
      <c r="D342" t="s">
        <v>151</v>
      </c>
      <c r="E342" t="s">
        <v>15</v>
      </c>
      <c r="F342">
        <v>5</v>
      </c>
      <c r="G342">
        <v>1.3</v>
      </c>
      <c r="H342">
        <v>14</v>
      </c>
      <c r="I342">
        <v>19</v>
      </c>
      <c r="L342" t="s">
        <v>16</v>
      </c>
      <c r="M342" s="1">
        <v>46178</v>
      </c>
    </row>
    <row r="343" spans="1:13" x14ac:dyDescent="0.25">
      <c r="A343" t="s">
        <v>45</v>
      </c>
      <c r="B343" s="1">
        <v>46178</v>
      </c>
      <c r="C343" t="s">
        <v>151</v>
      </c>
      <c r="D343" t="s">
        <v>151</v>
      </c>
      <c r="E343" t="s">
        <v>15</v>
      </c>
      <c r="F343">
        <v>5</v>
      </c>
      <c r="G343">
        <v>1.3</v>
      </c>
      <c r="H343">
        <v>16</v>
      </c>
      <c r="I343" s="2">
        <v>20.8</v>
      </c>
      <c r="L343" t="s">
        <v>16</v>
      </c>
      <c r="M343" s="1">
        <v>46178</v>
      </c>
    </row>
    <row r="344" spans="1:13" x14ac:dyDescent="0.25">
      <c r="A344" t="s">
        <v>22</v>
      </c>
      <c r="B344" s="1">
        <v>46181</v>
      </c>
      <c r="C344" t="s">
        <v>152</v>
      </c>
      <c r="D344" t="s">
        <v>152</v>
      </c>
      <c r="E344" t="s">
        <v>24</v>
      </c>
      <c r="F344">
        <v>1</v>
      </c>
      <c r="G344">
        <v>1</v>
      </c>
      <c r="H344">
        <v>24</v>
      </c>
      <c r="I344">
        <f>H344*G344</f>
        <v>24</v>
      </c>
      <c r="L344" t="s">
        <v>16</v>
      </c>
      <c r="M344" s="1">
        <v>46181</v>
      </c>
    </row>
    <row r="345" spans="1:13" x14ac:dyDescent="0.25">
      <c r="A345" t="s">
        <v>22</v>
      </c>
      <c r="B345" s="1">
        <v>46183</v>
      </c>
      <c r="C345" t="s">
        <v>152</v>
      </c>
      <c r="D345" t="s">
        <v>152</v>
      </c>
      <c r="E345" t="s">
        <v>25</v>
      </c>
      <c r="F345">
        <v>3</v>
      </c>
      <c r="G345">
        <v>1</v>
      </c>
      <c r="H345">
        <v>24</v>
      </c>
      <c r="I345">
        <f>H345*G345</f>
        <v>24</v>
      </c>
      <c r="L345" t="s">
        <v>16</v>
      </c>
      <c r="M345" s="1">
        <v>46183</v>
      </c>
    </row>
    <row r="346" spans="1:13" x14ac:dyDescent="0.25">
      <c r="A346" t="s">
        <v>22</v>
      </c>
      <c r="B346" s="1">
        <v>46181</v>
      </c>
      <c r="C346" t="s">
        <v>153</v>
      </c>
      <c r="D346" t="s">
        <v>153</v>
      </c>
      <c r="E346" t="s">
        <v>25</v>
      </c>
      <c r="F346">
        <v>1</v>
      </c>
      <c r="G346">
        <v>1</v>
      </c>
      <c r="H346">
        <v>24</v>
      </c>
      <c r="I346">
        <f>H346*G346</f>
        <v>24</v>
      </c>
      <c r="L346" t="s">
        <v>16</v>
      </c>
      <c r="M346" s="1">
        <v>46181</v>
      </c>
    </row>
    <row r="347" spans="1:13" x14ac:dyDescent="0.25">
      <c r="A347" t="s">
        <v>22</v>
      </c>
      <c r="B347" s="1">
        <v>46183</v>
      </c>
      <c r="C347" t="s">
        <v>153</v>
      </c>
      <c r="D347" t="s">
        <v>153</v>
      </c>
      <c r="E347" t="s">
        <v>25</v>
      </c>
      <c r="F347">
        <v>3</v>
      </c>
      <c r="G347">
        <v>1</v>
      </c>
      <c r="H347">
        <v>24</v>
      </c>
      <c r="I347">
        <f>H347*G347</f>
        <v>24</v>
      </c>
      <c r="L347" t="s">
        <v>16</v>
      </c>
      <c r="M347" s="1">
        <v>46183</v>
      </c>
    </row>
    <row r="348" spans="1:13" x14ac:dyDescent="0.25">
      <c r="A348" t="s">
        <v>22</v>
      </c>
      <c r="B348" s="1">
        <v>46181</v>
      </c>
      <c r="C348" t="s">
        <v>154</v>
      </c>
      <c r="D348" t="s">
        <v>154</v>
      </c>
      <c r="E348" t="s">
        <v>24</v>
      </c>
      <c r="F348">
        <v>1</v>
      </c>
      <c r="G348">
        <v>1</v>
      </c>
      <c r="H348">
        <v>24</v>
      </c>
      <c r="I348">
        <f>H348*G348</f>
        <v>24</v>
      </c>
      <c r="L348" t="s">
        <v>16</v>
      </c>
      <c r="M348" s="1">
        <v>46181</v>
      </c>
    </row>
    <row r="349" spans="1:13" x14ac:dyDescent="0.25">
      <c r="A349" t="s">
        <v>20</v>
      </c>
      <c r="B349" s="1">
        <v>46182</v>
      </c>
      <c r="C349" t="s">
        <v>154</v>
      </c>
      <c r="D349" t="s">
        <v>154</v>
      </c>
      <c r="E349" t="s">
        <v>25</v>
      </c>
      <c r="F349">
        <v>2</v>
      </c>
      <c r="G349">
        <v>1</v>
      </c>
      <c r="H349">
        <v>1</v>
      </c>
      <c r="I349">
        <f>H349*G349</f>
      </c>
      <c r="L349" t="s">
        <v>16</v>
      </c>
      <c r="M349" s="1">
        <v>46181</v>
      </c>
    </row>
    <row r="350" spans="1:13" x14ac:dyDescent="0.25">
      <c r="A350" t="s">
        <v>22</v>
      </c>
      <c r="B350" s="1">
        <v>46183</v>
      </c>
      <c r="C350" t="s">
        <v>154</v>
      </c>
      <c r="D350" t="s">
        <v>154</v>
      </c>
      <c r="E350" t="s">
        <v>24</v>
      </c>
      <c r="F350">
        <v>3</v>
      </c>
      <c r="G350">
        <v>1</v>
      </c>
      <c r="H350">
        <v>24</v>
      </c>
      <c r="I350">
        <f>H350*G350</f>
        <v>24</v>
      </c>
      <c r="L350" t="s">
        <v>16</v>
      </c>
      <c r="M350" s="1">
        <v>46183</v>
      </c>
    </row>
    <row r="351" spans="1:13" x14ac:dyDescent="0.25">
      <c r="A351" t="s">
        <v>22</v>
      </c>
      <c r="B351" s="1">
        <v>46187</v>
      </c>
      <c r="C351" t="s">
        <v>154</v>
      </c>
      <c r="D351" t="s">
        <v>154</v>
      </c>
      <c r="E351" t="s">
        <v>24</v>
      </c>
      <c r="F351">
        <v>7</v>
      </c>
      <c r="G351">
        <v>1</v>
      </c>
      <c r="H351">
        <v>24</v>
      </c>
      <c r="I351">
        <f>H351*G351</f>
        <v>24</v>
      </c>
      <c r="L351" t="s">
        <v>16</v>
      </c>
      <c r="M351" s="1">
        <v>46185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0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9</v>
      </c>
      <c r="D1" t="s">
        <v>155</v>
      </c>
      <c r="E1" t="s">
        <v>3</v>
      </c>
      <c r="F1" t="s">
        <v>155</v>
      </c>
      <c r="G1" t="s">
        <v>4</v>
      </c>
      <c r="H1" t="s">
        <v>155</v>
      </c>
      <c r="I1" t="s">
        <v>6</v>
      </c>
      <c r="J1" t="s">
        <v>155</v>
      </c>
      <c r="K1" t="s">
        <v>7</v>
      </c>
      <c r="L1" t="s">
        <v>155</v>
      </c>
      <c r="M1" t="s">
        <v>8</v>
      </c>
      <c r="N1" t="s">
        <v>155</v>
      </c>
    </row>
    <row r="2" spans="1:14" x14ac:dyDescent="0.25">
      <c r="A2" t="s">
        <v>156</v>
      </c>
      <c r="B2" s="1">
        <v>45670</v>
      </c>
      <c r="D2" t="s">
        <v>157</v>
      </c>
      <c r="E2" t="s">
        <v>158</v>
      </c>
      <c r="F2" t="s">
        <v>157</v>
      </c>
      <c r="G2" t="s">
        <v>158</v>
      </c>
      <c r="H2" t="s">
        <v>159</v>
      </c>
      <c r="I2">
        <v>0.5</v>
      </c>
      <c r="J2" t="s">
        <v>160</v>
      </c>
      <c r="K2">
        <v>5</v>
      </c>
      <c r="L2" t="s">
        <v>161</v>
      </c>
      <c r="M2" s="2">
        <v>2.5</v>
      </c>
      <c r="N2" t="s">
        <v>162</v>
      </c>
    </row>
    <row r="3" spans="1:14" x14ac:dyDescent="0.25">
      <c r="A3" t="s">
        <v>163</v>
      </c>
      <c r="B3" s="1">
        <v>45662</v>
      </c>
      <c r="D3" t="s">
        <v>157</v>
      </c>
      <c r="E3" t="s">
        <v>158</v>
      </c>
      <c r="F3" t="s">
        <v>157</v>
      </c>
      <c r="G3" t="s">
        <v>158</v>
      </c>
      <c r="H3" t="s">
        <v>159</v>
      </c>
      <c r="I3">
        <v>1</v>
      </c>
      <c r="J3" t="s">
        <v>160</v>
      </c>
      <c r="K3">
        <v>19</v>
      </c>
      <c r="L3" t="s">
        <v>161</v>
      </c>
      <c r="M3">
        <v>19</v>
      </c>
      <c r="N3" t="s">
        <v>162</v>
      </c>
    </row>
    <row r="4" spans="1:14" x14ac:dyDescent="0.25">
      <c r="A4" t="s">
        <v>164</v>
      </c>
      <c r="B4" s="1">
        <v>45662</v>
      </c>
      <c r="D4" t="s">
        <v>157</v>
      </c>
      <c r="E4" t="s">
        <v>158</v>
      </c>
      <c r="F4" t="s">
        <v>157</v>
      </c>
      <c r="G4" t="s">
        <v>158</v>
      </c>
      <c r="H4" t="s">
        <v>159</v>
      </c>
      <c r="I4">
        <v>1</v>
      </c>
      <c r="J4" t="s">
        <v>160</v>
      </c>
      <c r="K4">
        <v>20</v>
      </c>
      <c r="L4" t="s">
        <v>161</v>
      </c>
      <c r="M4">
        <v>20</v>
      </c>
      <c r="N4" t="s">
        <v>162</v>
      </c>
    </row>
    <row r="5" spans="1:14" x14ac:dyDescent="0.25">
      <c r="A5" t="s">
        <v>165</v>
      </c>
      <c r="B5" s="1">
        <v>45662</v>
      </c>
      <c r="D5" t="s">
        <v>157</v>
      </c>
      <c r="E5" t="s">
        <v>158</v>
      </c>
      <c r="F5" t="s">
        <v>157</v>
      </c>
      <c r="G5" t="s">
        <v>166</v>
      </c>
      <c r="H5" t="s">
        <v>159</v>
      </c>
      <c r="I5">
        <v>1</v>
      </c>
      <c r="J5" t="s">
        <v>160</v>
      </c>
      <c r="K5">
        <v>24</v>
      </c>
      <c r="L5" t="s">
        <v>161</v>
      </c>
      <c r="M5">
        <v>24</v>
      </c>
      <c r="N5" t="s">
        <v>162</v>
      </c>
    </row>
    <row r="6" spans="1:14" x14ac:dyDescent="0.25">
      <c r="A6" t="s">
        <v>165</v>
      </c>
      <c r="B6" s="1">
        <v>45668</v>
      </c>
      <c r="D6" t="s">
        <v>157</v>
      </c>
      <c r="E6" t="s">
        <v>158</v>
      </c>
      <c r="F6" t="s">
        <v>157</v>
      </c>
      <c r="G6" t="s">
        <v>166</v>
      </c>
      <c r="H6" t="s">
        <v>159</v>
      </c>
      <c r="I6">
        <v>1</v>
      </c>
      <c r="J6" t="s">
        <v>160</v>
      </c>
      <c r="K6">
        <v>24</v>
      </c>
      <c r="L6" t="s">
        <v>161</v>
      </c>
      <c r="M6">
        <v>24</v>
      </c>
      <c r="N6" t="s">
        <v>162</v>
      </c>
    </row>
    <row r="7" spans="1:14" x14ac:dyDescent="0.25">
      <c r="A7" t="s">
        <v>167</v>
      </c>
      <c r="B7" s="1">
        <v>45662</v>
      </c>
      <c r="D7" t="s">
        <v>157</v>
      </c>
      <c r="E7" t="s">
        <v>158</v>
      </c>
      <c r="F7" t="s">
        <v>157</v>
      </c>
      <c r="G7" t="s">
        <v>158</v>
      </c>
      <c r="H7" t="s">
        <v>159</v>
      </c>
      <c r="I7">
        <v>1</v>
      </c>
      <c r="J7" t="s">
        <v>160</v>
      </c>
      <c r="K7">
        <v>26</v>
      </c>
      <c r="L7" t="s">
        <v>161</v>
      </c>
      <c r="M7">
        <v>26</v>
      </c>
      <c r="N7" t="s">
        <v>162</v>
      </c>
    </row>
    <row r="8" spans="1:14" x14ac:dyDescent="0.25">
      <c r="A8" t="s">
        <v>168</v>
      </c>
      <c r="B8" s="1">
        <v>45662</v>
      </c>
      <c r="D8" t="s">
        <v>157</v>
      </c>
      <c r="E8" t="s">
        <v>158</v>
      </c>
      <c r="F8" t="s">
        <v>157</v>
      </c>
      <c r="G8" t="s">
        <v>158</v>
      </c>
      <c r="H8" t="s">
        <v>159</v>
      </c>
      <c r="I8">
        <v>1</v>
      </c>
      <c r="J8" t="s">
        <v>160</v>
      </c>
      <c r="K8">
        <v>30</v>
      </c>
      <c r="L8" t="s">
        <v>161</v>
      </c>
      <c r="M8">
        <v>30</v>
      </c>
      <c r="N8" t="s">
        <v>162</v>
      </c>
    </row>
    <row r="9" spans="1:14" x14ac:dyDescent="0.25">
      <c r="A9" t="s">
        <v>156</v>
      </c>
      <c r="B9" s="1">
        <v>45662</v>
      </c>
      <c r="D9" t="s">
        <v>157</v>
      </c>
      <c r="E9" t="s">
        <v>158</v>
      </c>
      <c r="F9" t="s">
        <v>157</v>
      </c>
      <c r="G9" t="s">
        <v>158</v>
      </c>
      <c r="H9" t="s">
        <v>159</v>
      </c>
      <c r="I9">
        <v>1</v>
      </c>
      <c r="J9" t="s">
        <v>160</v>
      </c>
      <c r="K9">
        <v>50</v>
      </c>
      <c r="L9" t="s">
        <v>161</v>
      </c>
      <c r="M9">
        <v>50</v>
      </c>
      <c r="N9" t="s">
        <v>162</v>
      </c>
    </row>
    <row r="10" spans="1:14" x14ac:dyDescent="0.25">
      <c r="A10" t="s">
        <v>165</v>
      </c>
      <c r="B10" s="1">
        <v>45668</v>
      </c>
      <c r="D10" t="s">
        <v>157</v>
      </c>
      <c r="E10" t="s">
        <v>169</v>
      </c>
      <c r="F10" t="s">
        <v>157</v>
      </c>
      <c r="G10" t="s">
        <v>166</v>
      </c>
      <c r="H10" t="s">
        <v>159</v>
      </c>
      <c r="I10">
        <v>1</v>
      </c>
      <c r="J10" t="s">
        <v>160</v>
      </c>
      <c r="K10">
        <v>24</v>
      </c>
      <c r="L10" t="s">
        <v>161</v>
      </c>
      <c r="M10">
        <v>24</v>
      </c>
      <c r="N10" t="s">
        <v>162</v>
      </c>
    </row>
    <row r="11" spans="1:14" x14ac:dyDescent="0.25">
      <c r="A11" t="s">
        <v>156</v>
      </c>
      <c r="B11" s="1">
        <v>45663</v>
      </c>
      <c r="C11" t="s">
        <v>29</v>
      </c>
      <c r="D11" t="s">
        <v>157</v>
      </c>
      <c r="E11" t="s">
        <v>170</v>
      </c>
      <c r="F11" t="s">
        <v>157</v>
      </c>
      <c r="G11" t="s">
        <v>158</v>
      </c>
      <c r="H11" t="s">
        <v>159</v>
      </c>
      <c r="I11">
        <v>1</v>
      </c>
      <c r="J11" t="s">
        <v>160</v>
      </c>
      <c r="K11">
        <v>1</v>
      </c>
      <c r="L11" t="s">
        <v>161</v>
      </c>
      <c r="M11">
        <v>1</v>
      </c>
      <c r="N11" t="s">
        <v>162</v>
      </c>
    </row>
    <row r="12" spans="1:14" x14ac:dyDescent="0.25">
      <c r="A12" t="s">
        <v>156</v>
      </c>
      <c r="B12" s="1">
        <v>45663</v>
      </c>
      <c r="C12" t="s">
        <v>30</v>
      </c>
      <c r="D12" t="s">
        <v>157</v>
      </c>
      <c r="E12" t="s">
        <v>170</v>
      </c>
      <c r="F12" t="s">
        <v>157</v>
      </c>
      <c r="G12" t="s">
        <v>158</v>
      </c>
      <c r="H12" t="s">
        <v>159</v>
      </c>
      <c r="I12">
        <v>1</v>
      </c>
      <c r="J12" t="s">
        <v>160</v>
      </c>
      <c r="K12">
        <v>1</v>
      </c>
      <c r="L12" t="s">
        <v>161</v>
      </c>
      <c r="M12">
        <v>1</v>
      </c>
      <c r="N12" t="s">
        <v>162</v>
      </c>
    </row>
    <row r="13" spans="1:14" x14ac:dyDescent="0.25">
      <c r="A13" t="s">
        <v>156</v>
      </c>
      <c r="B13" s="1">
        <v>45663</v>
      </c>
      <c r="C13" t="s">
        <v>31</v>
      </c>
      <c r="D13" t="s">
        <v>157</v>
      </c>
      <c r="E13" t="s">
        <v>170</v>
      </c>
      <c r="F13" t="s">
        <v>157</v>
      </c>
      <c r="G13" t="s">
        <v>158</v>
      </c>
      <c r="H13" t="s">
        <v>159</v>
      </c>
      <c r="I13">
        <v>1</v>
      </c>
      <c r="J13" t="s">
        <v>160</v>
      </c>
      <c r="K13">
        <v>1</v>
      </c>
      <c r="L13" t="s">
        <v>161</v>
      </c>
      <c r="M13">
        <v>1</v>
      </c>
      <c r="N13" t="s">
        <v>162</v>
      </c>
    </row>
    <row r="14" spans="1:14" x14ac:dyDescent="0.25">
      <c r="A14" t="s">
        <v>156</v>
      </c>
      <c r="B14" s="1">
        <v>45663</v>
      </c>
      <c r="C14" t="s">
        <v>32</v>
      </c>
      <c r="D14" t="s">
        <v>157</v>
      </c>
      <c r="E14" t="s">
        <v>170</v>
      </c>
      <c r="F14" t="s">
        <v>157</v>
      </c>
      <c r="G14" t="s">
        <v>158</v>
      </c>
      <c r="H14" t="s">
        <v>159</v>
      </c>
      <c r="I14">
        <v>1</v>
      </c>
      <c r="J14" t="s">
        <v>160</v>
      </c>
      <c r="K14">
        <v>1</v>
      </c>
      <c r="L14" t="s">
        <v>161</v>
      </c>
      <c r="M14">
        <v>1</v>
      </c>
      <c r="N14" t="s">
        <v>162</v>
      </c>
    </row>
    <row r="15" spans="1:14" x14ac:dyDescent="0.25">
      <c r="A15" t="s">
        <v>156</v>
      </c>
      <c r="B15" s="1">
        <v>45663</v>
      </c>
      <c r="C15" t="s">
        <v>33</v>
      </c>
      <c r="D15" t="s">
        <v>157</v>
      </c>
      <c r="E15" t="s">
        <v>170</v>
      </c>
      <c r="F15" t="s">
        <v>157</v>
      </c>
      <c r="G15" t="s">
        <v>158</v>
      </c>
      <c r="H15" t="s">
        <v>159</v>
      </c>
      <c r="I15">
        <v>1</v>
      </c>
      <c r="J15" t="s">
        <v>160</v>
      </c>
      <c r="K15">
        <v>1</v>
      </c>
      <c r="L15" t="s">
        <v>161</v>
      </c>
      <c r="M15">
        <v>1</v>
      </c>
      <c r="N15" t="s">
        <v>162</v>
      </c>
    </row>
    <row r="16" spans="1:14" x14ac:dyDescent="0.25">
      <c r="A16" t="s">
        <v>156</v>
      </c>
      <c r="B16" s="1">
        <v>45663</v>
      </c>
      <c r="C16" t="s">
        <v>34</v>
      </c>
      <c r="D16" t="s">
        <v>157</v>
      </c>
      <c r="E16" t="s">
        <v>170</v>
      </c>
      <c r="F16" t="s">
        <v>157</v>
      </c>
      <c r="G16" t="s">
        <v>158</v>
      </c>
      <c r="H16" t="s">
        <v>159</v>
      </c>
      <c r="I16">
        <v>1</v>
      </c>
      <c r="J16" t="s">
        <v>160</v>
      </c>
      <c r="K16">
        <v>1</v>
      </c>
      <c r="L16" t="s">
        <v>161</v>
      </c>
      <c r="M16">
        <v>1</v>
      </c>
      <c r="N16" t="s">
        <v>162</v>
      </c>
    </row>
    <row r="17" spans="1:14" x14ac:dyDescent="0.25">
      <c r="A17" t="s">
        <v>156</v>
      </c>
      <c r="B17" s="1">
        <v>45663</v>
      </c>
      <c r="C17" t="s">
        <v>29</v>
      </c>
      <c r="D17" t="s">
        <v>157</v>
      </c>
      <c r="E17" t="s">
        <v>170</v>
      </c>
      <c r="F17" t="s">
        <v>157</v>
      </c>
      <c r="G17" t="s">
        <v>158</v>
      </c>
      <c r="H17" t="s">
        <v>159</v>
      </c>
      <c r="I17">
        <v>1</v>
      </c>
      <c r="J17" t="s">
        <v>160</v>
      </c>
      <c r="K17">
        <v>1</v>
      </c>
      <c r="L17" t="s">
        <v>161</v>
      </c>
      <c r="M17">
        <v>1</v>
      </c>
      <c r="N17" t="s">
        <v>162</v>
      </c>
    </row>
    <row r="18" spans="1:14" x14ac:dyDescent="0.25">
      <c r="A18" t="s">
        <v>156</v>
      </c>
      <c r="B18" s="1">
        <v>45663</v>
      </c>
      <c r="C18" t="s">
        <v>29</v>
      </c>
      <c r="D18" t="s">
        <v>157</v>
      </c>
      <c r="E18" t="s">
        <v>170</v>
      </c>
      <c r="F18" t="s">
        <v>157</v>
      </c>
      <c r="G18" t="s">
        <v>158</v>
      </c>
      <c r="H18" t="s">
        <v>159</v>
      </c>
      <c r="I18">
        <v>1</v>
      </c>
      <c r="J18" t="s">
        <v>160</v>
      </c>
      <c r="K18">
        <v>1</v>
      </c>
      <c r="L18" t="s">
        <v>161</v>
      </c>
      <c r="M18">
        <v>1</v>
      </c>
      <c r="N18" t="s">
        <v>162</v>
      </c>
    </row>
    <row r="19" spans="1:14" x14ac:dyDescent="0.25">
      <c r="A19" t="s">
        <v>156</v>
      </c>
      <c r="B19" s="1">
        <v>45662</v>
      </c>
      <c r="D19" t="s">
        <v>157</v>
      </c>
      <c r="E19" t="s">
        <v>170</v>
      </c>
      <c r="F19" t="s">
        <v>157</v>
      </c>
      <c r="G19" t="s">
        <v>158</v>
      </c>
      <c r="H19" t="s">
        <v>159</v>
      </c>
      <c r="I19">
        <v>1</v>
      </c>
      <c r="J19" t="s">
        <v>160</v>
      </c>
      <c r="K19">
        <v>50</v>
      </c>
      <c r="L19" t="s">
        <v>161</v>
      </c>
      <c r="M19">
        <v>50</v>
      </c>
      <c r="N19" t="s">
        <v>162</v>
      </c>
    </row>
    <row r="20" spans="1:14" x14ac:dyDescent="0.25">
      <c r="A20" t="s">
        <v>164</v>
      </c>
      <c r="B20" s="1">
        <v>45666</v>
      </c>
      <c r="D20" t="s">
        <v>157</v>
      </c>
      <c r="E20" t="s">
        <v>171</v>
      </c>
      <c r="F20" t="s">
        <v>157</v>
      </c>
      <c r="G20" t="s">
        <v>158</v>
      </c>
      <c r="H20" t="s">
        <v>159</v>
      </c>
      <c r="I20">
        <v>120</v>
      </c>
      <c r="J20" t="s">
        <v>160</v>
      </c>
      <c r="K20">
        <v>21</v>
      </c>
      <c r="L20" t="s">
        <v>161</v>
      </c>
      <c r="M20">
        <v>2520</v>
      </c>
      <c r="N20" t="s">
        <v>162</v>
      </c>
    </row>
    <row r="21" spans="1:14" x14ac:dyDescent="0.25">
      <c r="A21" t="s">
        <v>156</v>
      </c>
      <c r="B21" s="1">
        <v>45676</v>
      </c>
      <c r="D21" t="s">
        <v>157</v>
      </c>
      <c r="E21" t="s">
        <v>171</v>
      </c>
      <c r="F21" t="s">
        <v>157</v>
      </c>
      <c r="G21" t="s">
        <v>158</v>
      </c>
      <c r="H21" t="s">
        <v>159</v>
      </c>
      <c r="I21">
        <v>120</v>
      </c>
      <c r="J21" t="s">
        <v>160</v>
      </c>
      <c r="K21">
        <v>4</v>
      </c>
      <c r="L21" t="s">
        <v>161</v>
      </c>
      <c r="M21">
        <v>480</v>
      </c>
      <c r="N21" t="s">
        <v>162</v>
      </c>
    </row>
    <row r="22" spans="1:14" x14ac:dyDescent="0.25">
      <c r="A22" t="s">
        <v>168</v>
      </c>
      <c r="B22" s="1">
        <v>45666</v>
      </c>
      <c r="D22" t="s">
        <v>157</v>
      </c>
      <c r="E22" t="s">
        <v>171</v>
      </c>
      <c r="F22" t="s">
        <v>157</v>
      </c>
      <c r="G22" t="s">
        <v>158</v>
      </c>
      <c r="H22" t="s">
        <v>159</v>
      </c>
      <c r="I22">
        <v>120</v>
      </c>
      <c r="J22" t="s">
        <v>160</v>
      </c>
      <c r="K22">
        <v>47</v>
      </c>
      <c r="L22" t="s">
        <v>161</v>
      </c>
      <c r="M22">
        <v>5640</v>
      </c>
      <c r="N22" t="s">
        <v>162</v>
      </c>
    </row>
    <row r="23" spans="1:14" x14ac:dyDescent="0.25">
      <c r="A23" t="s">
        <v>163</v>
      </c>
      <c r="B23" s="1">
        <v>45666</v>
      </c>
      <c r="D23" t="s">
        <v>157</v>
      </c>
      <c r="E23" t="s">
        <v>171</v>
      </c>
      <c r="F23" t="s">
        <v>157</v>
      </c>
      <c r="G23" t="s">
        <v>158</v>
      </c>
      <c r="H23" t="s">
        <v>159</v>
      </c>
      <c r="I23">
        <v>120</v>
      </c>
      <c r="J23" t="s">
        <v>160</v>
      </c>
      <c r="K23">
        <v>20</v>
      </c>
      <c r="L23" t="s">
        <v>161</v>
      </c>
      <c r="M23">
        <v>2400</v>
      </c>
      <c r="N23" t="s">
        <v>162</v>
      </c>
    </row>
    <row r="24" spans="1:14" x14ac:dyDescent="0.25">
      <c r="A24" t="s">
        <v>167</v>
      </c>
      <c r="B24" s="1">
        <v>45666</v>
      </c>
      <c r="D24" t="s">
        <v>157</v>
      </c>
      <c r="E24" t="s">
        <v>171</v>
      </c>
      <c r="F24" t="s">
        <v>157</v>
      </c>
      <c r="G24" t="s">
        <v>158</v>
      </c>
      <c r="H24" t="s">
        <v>159</v>
      </c>
      <c r="I24">
        <v>120</v>
      </c>
      <c r="J24" t="s">
        <v>160</v>
      </c>
      <c r="K24">
        <v>22</v>
      </c>
      <c r="L24" t="s">
        <v>161</v>
      </c>
      <c r="M24">
        <v>2640</v>
      </c>
      <c r="N24" t="s">
        <v>162</v>
      </c>
    </row>
    <row r="25" spans="1:14" x14ac:dyDescent="0.25">
      <c r="A25" t="s">
        <v>172</v>
      </c>
      <c r="B25" s="1">
        <v>45667</v>
      </c>
      <c r="D25" t="s">
        <v>157</v>
      </c>
      <c r="E25" t="s">
        <v>171</v>
      </c>
      <c r="F25" t="s">
        <v>157</v>
      </c>
      <c r="G25" t="s">
        <v>158</v>
      </c>
      <c r="H25" t="s">
        <v>159</v>
      </c>
      <c r="I25">
        <v>120</v>
      </c>
      <c r="J25" t="s">
        <v>160</v>
      </c>
      <c r="K25">
        <v>7</v>
      </c>
      <c r="L25" t="s">
        <v>161</v>
      </c>
      <c r="M25">
        <v>840</v>
      </c>
      <c r="N25" t="s">
        <v>162</v>
      </c>
    </row>
    <row r="26" spans="1:14" x14ac:dyDescent="0.25">
      <c r="A26" t="s">
        <v>156</v>
      </c>
      <c r="B26" s="1">
        <v>45667</v>
      </c>
      <c r="D26" t="s">
        <v>157</v>
      </c>
      <c r="E26" t="s">
        <v>171</v>
      </c>
      <c r="F26" t="s">
        <v>157</v>
      </c>
      <c r="G26" t="s">
        <v>158</v>
      </c>
      <c r="H26" t="s">
        <v>159</v>
      </c>
      <c r="I26">
        <v>120</v>
      </c>
      <c r="J26" t="s">
        <v>160</v>
      </c>
      <c r="K26">
        <v>12</v>
      </c>
      <c r="L26" t="s">
        <v>161</v>
      </c>
      <c r="M26">
        <v>1440</v>
      </c>
      <c r="N26" t="s">
        <v>162</v>
      </c>
    </row>
    <row r="27" spans="1:14" x14ac:dyDescent="0.25">
      <c r="A27" t="s">
        <v>156</v>
      </c>
      <c r="B27" s="1">
        <v>45666</v>
      </c>
      <c r="D27" t="s">
        <v>157</v>
      </c>
      <c r="E27" t="s">
        <v>171</v>
      </c>
      <c r="F27" t="s">
        <v>157</v>
      </c>
      <c r="G27" t="s">
        <v>158</v>
      </c>
      <c r="H27" t="s">
        <v>159</v>
      </c>
      <c r="I27">
        <v>120</v>
      </c>
      <c r="J27" t="s">
        <v>160</v>
      </c>
      <c r="K27">
        <v>49</v>
      </c>
      <c r="L27" t="s">
        <v>161</v>
      </c>
      <c r="M27">
        <v>5880</v>
      </c>
      <c r="N27" t="s">
        <v>162</v>
      </c>
    </row>
    <row r="28" spans="1:14" x14ac:dyDescent="0.25">
      <c r="A28" t="s">
        <v>156</v>
      </c>
      <c r="B28" s="1">
        <v>45671</v>
      </c>
      <c r="D28" t="s">
        <v>157</v>
      </c>
      <c r="E28" t="s">
        <v>173</v>
      </c>
      <c r="F28" t="s">
        <v>157</v>
      </c>
      <c r="G28" t="s">
        <v>158</v>
      </c>
      <c r="H28" t="s">
        <v>159</v>
      </c>
      <c r="I28">
        <v>100</v>
      </c>
      <c r="J28" t="s">
        <v>160</v>
      </c>
      <c r="K28">
        <v>6</v>
      </c>
      <c r="L28" t="s">
        <v>161</v>
      </c>
      <c r="M28">
        <v>600</v>
      </c>
      <c r="N28" t="s">
        <v>162</v>
      </c>
    </row>
    <row r="29" spans="1:14" x14ac:dyDescent="0.25">
      <c r="A29" t="s">
        <v>164</v>
      </c>
      <c r="B29" s="1">
        <v>45663</v>
      </c>
      <c r="D29" t="s">
        <v>157</v>
      </c>
      <c r="E29" t="s">
        <v>173</v>
      </c>
      <c r="F29" t="s">
        <v>157</v>
      </c>
      <c r="G29" t="s">
        <v>158</v>
      </c>
      <c r="H29" t="s">
        <v>159</v>
      </c>
      <c r="I29">
        <v>100</v>
      </c>
      <c r="J29" t="s">
        <v>160</v>
      </c>
      <c r="K29">
        <v>23</v>
      </c>
      <c r="L29" t="s">
        <v>161</v>
      </c>
      <c r="M29">
        <v>2300</v>
      </c>
      <c r="N29" t="s">
        <v>162</v>
      </c>
    </row>
    <row r="30" spans="1:14" x14ac:dyDescent="0.25">
      <c r="A30" t="s">
        <v>168</v>
      </c>
      <c r="B30" s="1">
        <v>45663</v>
      </c>
      <c r="D30" t="s">
        <v>157</v>
      </c>
      <c r="E30" t="s">
        <v>173</v>
      </c>
      <c r="F30" t="s">
        <v>157</v>
      </c>
      <c r="G30" t="s">
        <v>158</v>
      </c>
      <c r="H30" t="s">
        <v>159</v>
      </c>
      <c r="I30">
        <v>100</v>
      </c>
      <c r="J30" t="s">
        <v>160</v>
      </c>
      <c r="K30">
        <v>51</v>
      </c>
      <c r="L30" t="s">
        <v>161</v>
      </c>
      <c r="M30">
        <v>5100</v>
      </c>
      <c r="N30" t="s">
        <v>162</v>
      </c>
    </row>
    <row r="31" spans="1:14" x14ac:dyDescent="0.25">
      <c r="A31" t="s">
        <v>167</v>
      </c>
      <c r="B31" s="1">
        <v>45663</v>
      </c>
      <c r="D31" t="s">
        <v>157</v>
      </c>
      <c r="E31" t="s">
        <v>173</v>
      </c>
      <c r="F31" t="s">
        <v>157</v>
      </c>
      <c r="G31" t="s">
        <v>158</v>
      </c>
      <c r="H31" t="s">
        <v>159</v>
      </c>
      <c r="I31">
        <v>100</v>
      </c>
      <c r="J31" t="s">
        <v>160</v>
      </c>
      <c r="K31">
        <v>27</v>
      </c>
      <c r="L31" t="s">
        <v>161</v>
      </c>
      <c r="M31">
        <v>2700</v>
      </c>
      <c r="N31" t="s">
        <v>162</v>
      </c>
    </row>
    <row r="32" spans="1:14" x14ac:dyDescent="0.25">
      <c r="A32" t="s">
        <v>163</v>
      </c>
      <c r="B32" s="1">
        <v>45663</v>
      </c>
      <c r="D32" t="s">
        <v>157</v>
      </c>
      <c r="E32" t="s">
        <v>173</v>
      </c>
      <c r="F32" t="s">
        <v>157</v>
      </c>
      <c r="G32" t="s">
        <v>158</v>
      </c>
      <c r="H32" t="s">
        <v>159</v>
      </c>
      <c r="I32">
        <v>100</v>
      </c>
      <c r="J32" t="s">
        <v>160</v>
      </c>
      <c r="K32">
        <v>18</v>
      </c>
      <c r="L32" t="s">
        <v>161</v>
      </c>
      <c r="M32">
        <v>1800</v>
      </c>
      <c r="N32" t="s">
        <v>162</v>
      </c>
    </row>
    <row r="33" spans="1:14" x14ac:dyDescent="0.25">
      <c r="A33" t="s">
        <v>156</v>
      </c>
      <c r="B33" s="1">
        <v>45663</v>
      </c>
      <c r="D33" t="s">
        <v>157</v>
      </c>
      <c r="E33" t="s">
        <v>173</v>
      </c>
      <c r="F33" t="s">
        <v>157</v>
      </c>
      <c r="G33" t="s">
        <v>158</v>
      </c>
      <c r="H33" t="s">
        <v>159</v>
      </c>
      <c r="I33">
        <v>100</v>
      </c>
      <c r="J33" t="s">
        <v>160</v>
      </c>
      <c r="K33">
        <v>50</v>
      </c>
      <c r="L33" t="s">
        <v>161</v>
      </c>
      <c r="M33">
        <v>5000</v>
      </c>
      <c r="N33" t="s">
        <v>162</v>
      </c>
    </row>
    <row r="34" spans="1:14" x14ac:dyDescent="0.25">
      <c r="A34" t="s">
        <v>164</v>
      </c>
      <c r="B34" s="1">
        <v>45666</v>
      </c>
      <c r="C34" t="s">
        <v>108</v>
      </c>
      <c r="D34" t="s">
        <v>157</v>
      </c>
      <c r="E34" t="s">
        <v>171</v>
      </c>
      <c r="F34" t="s">
        <v>157</v>
      </c>
      <c r="G34" t="s">
        <v>174</v>
      </c>
      <c r="H34" t="s">
        <v>159</v>
      </c>
      <c r="I34">
        <v>120</v>
      </c>
      <c r="J34" t="s">
        <v>160</v>
      </c>
      <c r="K34">
        <v>1</v>
      </c>
      <c r="L34" t="s">
        <v>161</v>
      </c>
      <c r="M34">
        <v>120</v>
      </c>
      <c r="N34" t="s">
        <v>162</v>
      </c>
    </row>
    <row r="35" spans="1:14" x14ac:dyDescent="0.25">
      <c r="A35" t="s">
        <v>168</v>
      </c>
      <c r="B35" s="1">
        <v>45666</v>
      </c>
      <c r="C35" t="s">
        <v>109</v>
      </c>
      <c r="D35" t="s">
        <v>157</v>
      </c>
      <c r="E35" t="s">
        <v>171</v>
      </c>
      <c r="F35" t="s">
        <v>157</v>
      </c>
      <c r="G35" t="s">
        <v>174</v>
      </c>
      <c r="H35" t="s">
        <v>159</v>
      </c>
      <c r="I35">
        <v>120</v>
      </c>
      <c r="J35" t="s">
        <v>160</v>
      </c>
      <c r="K35">
        <v>1</v>
      </c>
      <c r="L35" t="s">
        <v>161</v>
      </c>
      <c r="M35">
        <v>120</v>
      </c>
      <c r="N35" t="s">
        <v>162</v>
      </c>
    </row>
    <row r="36" spans="1:14" x14ac:dyDescent="0.25">
      <c r="A36" t="s">
        <v>168</v>
      </c>
      <c r="B36" s="1">
        <v>45666</v>
      </c>
      <c r="C36" t="s">
        <v>110</v>
      </c>
      <c r="D36" t="s">
        <v>157</v>
      </c>
      <c r="E36" t="s">
        <v>171</v>
      </c>
      <c r="F36" t="s">
        <v>157</v>
      </c>
      <c r="G36" t="s">
        <v>174</v>
      </c>
      <c r="H36" t="s">
        <v>159</v>
      </c>
      <c r="I36">
        <v>120</v>
      </c>
      <c r="J36" t="s">
        <v>160</v>
      </c>
      <c r="K36">
        <v>1</v>
      </c>
      <c r="L36" t="s">
        <v>161</v>
      </c>
      <c r="M36">
        <v>120</v>
      </c>
      <c r="N36" t="s">
        <v>162</v>
      </c>
    </row>
    <row r="37" spans="1:14" x14ac:dyDescent="0.25">
      <c r="A37" t="s">
        <v>168</v>
      </c>
      <c r="B37" s="1">
        <v>45666</v>
      </c>
      <c r="C37" t="s">
        <v>110</v>
      </c>
      <c r="D37" t="s">
        <v>157</v>
      </c>
      <c r="E37" t="s">
        <v>171</v>
      </c>
      <c r="F37" t="s">
        <v>157</v>
      </c>
      <c r="G37" t="s">
        <v>174</v>
      </c>
      <c r="H37" t="s">
        <v>159</v>
      </c>
      <c r="I37">
        <v>120</v>
      </c>
      <c r="J37" t="s">
        <v>160</v>
      </c>
      <c r="K37">
        <v>1</v>
      </c>
      <c r="L37" t="s">
        <v>161</v>
      </c>
      <c r="M37">
        <v>120</v>
      </c>
      <c r="N37" t="s">
        <v>162</v>
      </c>
    </row>
    <row r="38" spans="1:14" x14ac:dyDescent="0.25">
      <c r="A38" t="s">
        <v>172</v>
      </c>
      <c r="B38" s="1">
        <v>45667</v>
      </c>
      <c r="C38" t="s">
        <v>175</v>
      </c>
      <c r="D38" t="s">
        <v>157</v>
      </c>
      <c r="E38" t="s">
        <v>171</v>
      </c>
      <c r="F38" t="s">
        <v>157</v>
      </c>
      <c r="G38" t="s">
        <v>174</v>
      </c>
      <c r="H38" t="s">
        <v>159</v>
      </c>
      <c r="I38">
        <v>120</v>
      </c>
      <c r="J38" t="s">
        <v>160</v>
      </c>
      <c r="K38">
        <v>1</v>
      </c>
      <c r="L38" t="s">
        <v>161</v>
      </c>
      <c r="M38">
        <v>120</v>
      </c>
      <c r="N38" t="s">
        <v>162</v>
      </c>
    </row>
    <row r="39" spans="1:14" x14ac:dyDescent="0.25">
      <c r="A39" t="s">
        <v>156</v>
      </c>
      <c r="B39" s="1">
        <v>45666</v>
      </c>
      <c r="C39" t="s">
        <v>72</v>
      </c>
      <c r="D39" t="s">
        <v>157</v>
      </c>
      <c r="E39" t="s">
        <v>171</v>
      </c>
      <c r="F39" t="s">
        <v>157</v>
      </c>
      <c r="G39" t="s">
        <v>158</v>
      </c>
      <c r="H39" t="s">
        <v>159</v>
      </c>
      <c r="I39">
        <v>120</v>
      </c>
      <c r="J39" t="s">
        <v>160</v>
      </c>
      <c r="K39">
        <v>1</v>
      </c>
      <c r="L39" t="s">
        <v>161</v>
      </c>
      <c r="M39">
        <v>120</v>
      </c>
      <c r="N39" t="s">
        <v>162</v>
      </c>
    </row>
    <row r="40" spans="1:14" x14ac:dyDescent="0.25">
      <c r="A40" t="s">
        <v>165</v>
      </c>
      <c r="B40" s="1">
        <v>45664</v>
      </c>
      <c r="D40" t="s">
        <v>157</v>
      </c>
      <c r="E40" t="s">
        <v>176</v>
      </c>
      <c r="F40" t="s">
        <v>157</v>
      </c>
      <c r="G40" t="s">
        <v>166</v>
      </c>
      <c r="H40" t="s">
        <v>159</v>
      </c>
      <c r="I40">
        <v>1</v>
      </c>
      <c r="J40" t="s">
        <v>160</v>
      </c>
      <c r="K40">
        <v>24</v>
      </c>
      <c r="L40" t="s">
        <v>161</v>
      </c>
      <c r="M40">
        <v>24</v>
      </c>
      <c r="N40" t="s">
        <v>162</v>
      </c>
    </row>
    <row r="41" spans="1:14" x14ac:dyDescent="0.25">
      <c r="A41" t="s">
        <v>156</v>
      </c>
      <c r="B41" s="1">
        <v>45672</v>
      </c>
      <c r="D41" t="s">
        <v>157</v>
      </c>
      <c r="E41" t="s">
        <v>176</v>
      </c>
      <c r="F41" t="s">
        <v>157</v>
      </c>
      <c r="G41" t="s">
        <v>158</v>
      </c>
      <c r="H41" t="s">
        <v>159</v>
      </c>
      <c r="I41">
        <v>0.5</v>
      </c>
      <c r="J41" t="s">
        <v>160</v>
      </c>
      <c r="K41">
        <v>8</v>
      </c>
      <c r="L41" t="s">
        <v>161</v>
      </c>
      <c r="M41" s="2">
        <v>4</v>
      </c>
      <c r="N41" t="s">
        <v>162</v>
      </c>
    </row>
    <row r="42" spans="1:14" x14ac:dyDescent="0.25">
      <c r="A42" t="s">
        <v>165</v>
      </c>
      <c r="B42" s="1">
        <v>45668</v>
      </c>
      <c r="D42" t="s">
        <v>157</v>
      </c>
      <c r="E42" t="s">
        <v>177</v>
      </c>
      <c r="F42" t="s">
        <v>157</v>
      </c>
      <c r="G42" t="s">
        <v>158</v>
      </c>
      <c r="H42" t="s">
        <v>159</v>
      </c>
      <c r="I42">
        <v>1</v>
      </c>
      <c r="J42" t="s">
        <v>160</v>
      </c>
      <c r="K42">
        <v>24</v>
      </c>
      <c r="L42" t="s">
        <v>161</v>
      </c>
      <c r="M42">
        <v>24</v>
      </c>
      <c r="N42" t="s">
        <v>162</v>
      </c>
    </row>
    <row r="43" spans="1:14" x14ac:dyDescent="0.25">
      <c r="A43" t="s">
        <v>156</v>
      </c>
      <c r="B43" s="1">
        <v>45671</v>
      </c>
      <c r="D43" t="s">
        <v>157</v>
      </c>
      <c r="E43" t="s">
        <v>178</v>
      </c>
      <c r="F43" t="s">
        <v>157</v>
      </c>
      <c r="G43" t="s">
        <v>158</v>
      </c>
      <c r="H43" t="s">
        <v>159</v>
      </c>
      <c r="I43">
        <v>1</v>
      </c>
      <c r="J43" t="s">
        <v>160</v>
      </c>
      <c r="K43">
        <v>6</v>
      </c>
      <c r="L43" t="s">
        <v>161</v>
      </c>
      <c r="M43">
        <v>6</v>
      </c>
      <c r="N43" t="s">
        <v>162</v>
      </c>
    </row>
    <row r="44" spans="1:14" x14ac:dyDescent="0.25">
      <c r="A44" t="s">
        <v>164</v>
      </c>
      <c r="B44" s="1">
        <v>45663</v>
      </c>
      <c r="D44" t="s">
        <v>157</v>
      </c>
      <c r="E44" t="s">
        <v>178</v>
      </c>
      <c r="F44" t="s">
        <v>157</v>
      </c>
      <c r="G44" t="s">
        <v>158</v>
      </c>
      <c r="H44" t="s">
        <v>159</v>
      </c>
      <c r="I44">
        <v>1</v>
      </c>
      <c r="J44" t="s">
        <v>160</v>
      </c>
      <c r="K44">
        <v>20</v>
      </c>
      <c r="L44" t="s">
        <v>161</v>
      </c>
      <c r="M44">
        <v>20</v>
      </c>
      <c r="N44" t="s">
        <v>162</v>
      </c>
    </row>
    <row r="45" spans="1:14" x14ac:dyDescent="0.25">
      <c r="A45" t="s">
        <v>168</v>
      </c>
      <c r="B45" s="1">
        <v>45663</v>
      </c>
      <c r="D45" t="s">
        <v>157</v>
      </c>
      <c r="E45" t="s">
        <v>178</v>
      </c>
      <c r="F45" t="s">
        <v>157</v>
      </c>
      <c r="G45" t="s">
        <v>158</v>
      </c>
      <c r="H45" t="s">
        <v>159</v>
      </c>
      <c r="I45">
        <v>1</v>
      </c>
      <c r="J45" t="s">
        <v>160</v>
      </c>
      <c r="K45">
        <v>49</v>
      </c>
      <c r="L45" t="s">
        <v>161</v>
      </c>
      <c r="M45">
        <v>49</v>
      </c>
      <c r="N45" t="s">
        <v>162</v>
      </c>
    </row>
    <row r="46" spans="1:14" x14ac:dyDescent="0.25">
      <c r="A46" t="s">
        <v>167</v>
      </c>
      <c r="B46" s="1">
        <v>45663</v>
      </c>
      <c r="D46" t="s">
        <v>157</v>
      </c>
      <c r="E46" t="s">
        <v>178</v>
      </c>
      <c r="F46" t="s">
        <v>157</v>
      </c>
      <c r="G46" t="s">
        <v>158</v>
      </c>
      <c r="H46" t="s">
        <v>159</v>
      </c>
      <c r="I46">
        <v>1</v>
      </c>
      <c r="J46" t="s">
        <v>160</v>
      </c>
      <c r="K46">
        <v>24</v>
      </c>
      <c r="L46" t="s">
        <v>161</v>
      </c>
      <c r="M46">
        <v>24</v>
      </c>
      <c r="N46" t="s">
        <v>162</v>
      </c>
    </row>
    <row r="47" spans="1:14" x14ac:dyDescent="0.25">
      <c r="A47" t="s">
        <v>163</v>
      </c>
      <c r="B47" s="1">
        <v>45663</v>
      </c>
      <c r="D47" t="s">
        <v>157</v>
      </c>
      <c r="E47" t="s">
        <v>178</v>
      </c>
      <c r="F47" t="s">
        <v>157</v>
      </c>
      <c r="G47" t="s">
        <v>158</v>
      </c>
      <c r="H47" t="s">
        <v>159</v>
      </c>
      <c r="I47">
        <v>1</v>
      </c>
      <c r="J47" t="s">
        <v>160</v>
      </c>
      <c r="K47">
        <v>18</v>
      </c>
      <c r="L47" t="s">
        <v>161</v>
      </c>
      <c r="M47">
        <v>18</v>
      </c>
      <c r="N47" t="s">
        <v>162</v>
      </c>
    </row>
    <row r="48" spans="1:14" x14ac:dyDescent="0.25">
      <c r="A48" t="s">
        <v>156</v>
      </c>
      <c r="B48" s="1">
        <v>45663</v>
      </c>
      <c r="D48" t="s">
        <v>157</v>
      </c>
      <c r="E48" t="s">
        <v>178</v>
      </c>
      <c r="F48" t="s">
        <v>157</v>
      </c>
      <c r="G48" t="s">
        <v>158</v>
      </c>
      <c r="H48" t="s">
        <v>159</v>
      </c>
      <c r="I48">
        <v>1</v>
      </c>
      <c r="J48" t="s">
        <v>160</v>
      </c>
      <c r="K48">
        <v>49</v>
      </c>
      <c r="L48" t="s">
        <v>161</v>
      </c>
      <c r="M48">
        <v>49</v>
      </c>
      <c r="N48" t="s">
        <v>162</v>
      </c>
    </row>
    <row r="49" spans="1:14" x14ac:dyDescent="0.25">
      <c r="A49" t="s">
        <v>165</v>
      </c>
      <c r="B49" s="1">
        <v>45666</v>
      </c>
      <c r="D49" t="s">
        <v>157</v>
      </c>
      <c r="E49" t="s">
        <v>179</v>
      </c>
      <c r="F49" t="s">
        <v>157</v>
      </c>
      <c r="G49" t="s">
        <v>158</v>
      </c>
      <c r="H49" t="s">
        <v>159</v>
      </c>
      <c r="I49">
        <v>3</v>
      </c>
      <c r="J49" t="s">
        <v>160</v>
      </c>
      <c r="K49">
        <v>24</v>
      </c>
      <c r="L49" t="s">
        <v>161</v>
      </c>
      <c r="M49">
        <v>72</v>
      </c>
      <c r="N49" t="s">
        <v>162</v>
      </c>
    </row>
    <row r="50" spans="1:14" x14ac:dyDescent="0.25">
      <c r="A50" t="s">
        <v>164</v>
      </c>
      <c r="B50" s="1">
        <v>45664</v>
      </c>
      <c r="D50" t="s">
        <v>157</v>
      </c>
      <c r="E50" t="s">
        <v>180</v>
      </c>
      <c r="F50" t="s">
        <v>157</v>
      </c>
      <c r="G50" t="s">
        <v>158</v>
      </c>
      <c r="H50" t="s">
        <v>159</v>
      </c>
      <c r="I50">
        <v>100</v>
      </c>
      <c r="J50" t="s">
        <v>160</v>
      </c>
      <c r="K50">
        <v>19</v>
      </c>
      <c r="L50" t="s">
        <v>161</v>
      </c>
      <c r="M50">
        <v>1900</v>
      </c>
      <c r="N50" t="s">
        <v>162</v>
      </c>
    </row>
    <row r="51" spans="1:14" x14ac:dyDescent="0.25">
      <c r="A51" t="s">
        <v>156</v>
      </c>
      <c r="B51" s="1">
        <v>45672</v>
      </c>
      <c r="D51" t="s">
        <v>157</v>
      </c>
      <c r="E51" t="s">
        <v>180</v>
      </c>
      <c r="F51" t="s">
        <v>157</v>
      </c>
      <c r="G51" t="s">
        <v>158</v>
      </c>
      <c r="H51" t="s">
        <v>159</v>
      </c>
      <c r="I51">
        <v>100</v>
      </c>
      <c r="J51" t="s">
        <v>160</v>
      </c>
      <c r="K51">
        <v>8</v>
      </c>
      <c r="L51" t="s">
        <v>161</v>
      </c>
      <c r="M51">
        <v>800</v>
      </c>
      <c r="N51" t="s">
        <v>162</v>
      </c>
    </row>
    <row r="52" spans="1:14" x14ac:dyDescent="0.25">
      <c r="A52" t="s">
        <v>168</v>
      </c>
      <c r="B52" s="1">
        <v>45664</v>
      </c>
      <c r="D52" t="s">
        <v>157</v>
      </c>
      <c r="E52" t="s">
        <v>180</v>
      </c>
      <c r="F52" t="s">
        <v>157</v>
      </c>
      <c r="G52" t="s">
        <v>158</v>
      </c>
      <c r="H52" t="s">
        <v>159</v>
      </c>
      <c r="I52">
        <v>100</v>
      </c>
      <c r="J52" t="s">
        <v>160</v>
      </c>
      <c r="K52">
        <v>50</v>
      </c>
      <c r="L52" t="s">
        <v>161</v>
      </c>
      <c r="M52">
        <v>5000</v>
      </c>
      <c r="N52" t="s">
        <v>162</v>
      </c>
    </row>
    <row r="53" spans="1:14" x14ac:dyDescent="0.25">
      <c r="A53" t="s">
        <v>163</v>
      </c>
      <c r="B53" s="1">
        <v>45664</v>
      </c>
      <c r="D53" t="s">
        <v>157</v>
      </c>
      <c r="E53" t="s">
        <v>180</v>
      </c>
      <c r="F53" t="s">
        <v>157</v>
      </c>
      <c r="G53" t="s">
        <v>158</v>
      </c>
      <c r="H53" t="s">
        <v>159</v>
      </c>
      <c r="I53">
        <v>100</v>
      </c>
      <c r="J53" t="s">
        <v>160</v>
      </c>
      <c r="K53">
        <v>21</v>
      </c>
      <c r="L53" t="s">
        <v>161</v>
      </c>
      <c r="M53">
        <v>2100</v>
      </c>
      <c r="N53" t="s">
        <v>162</v>
      </c>
    </row>
    <row r="54" spans="1:14" x14ac:dyDescent="0.25">
      <c r="A54" t="s">
        <v>167</v>
      </c>
      <c r="B54" s="1">
        <v>45664</v>
      </c>
      <c r="D54" t="s">
        <v>157</v>
      </c>
      <c r="E54" t="s">
        <v>180</v>
      </c>
      <c r="F54" t="s">
        <v>157</v>
      </c>
      <c r="G54" t="s">
        <v>158</v>
      </c>
      <c r="H54" t="s">
        <v>159</v>
      </c>
      <c r="I54">
        <v>100</v>
      </c>
      <c r="J54" t="s">
        <v>160</v>
      </c>
      <c r="K54">
        <v>24</v>
      </c>
      <c r="L54" t="s">
        <v>161</v>
      </c>
      <c r="M54">
        <v>2400</v>
      </c>
      <c r="N54" t="s">
        <v>162</v>
      </c>
    </row>
    <row r="55" spans="1:14" x14ac:dyDescent="0.25">
      <c r="A55" t="s">
        <v>156</v>
      </c>
      <c r="B55" s="1">
        <v>45664</v>
      </c>
      <c r="D55" t="s">
        <v>157</v>
      </c>
      <c r="E55" t="s">
        <v>180</v>
      </c>
      <c r="F55" t="s">
        <v>157</v>
      </c>
      <c r="G55" t="s">
        <v>158</v>
      </c>
      <c r="H55" t="s">
        <v>159</v>
      </c>
      <c r="I55">
        <v>100</v>
      </c>
      <c r="J55" t="s">
        <v>160</v>
      </c>
      <c r="K55">
        <v>50</v>
      </c>
      <c r="L55" t="s">
        <v>161</v>
      </c>
      <c r="M55">
        <v>5000</v>
      </c>
      <c r="N55" t="s">
        <v>162</v>
      </c>
    </row>
    <row r="56" spans="1:14" x14ac:dyDescent="0.25">
      <c r="A56" t="s">
        <v>156</v>
      </c>
      <c r="B56" s="1">
        <v>45662</v>
      </c>
      <c r="D56" t="s">
        <v>157</v>
      </c>
      <c r="E56" t="s">
        <v>181</v>
      </c>
      <c r="F56" t="s">
        <v>157</v>
      </c>
      <c r="G56" t="s">
        <v>158</v>
      </c>
      <c r="H56" t="s">
        <v>159</v>
      </c>
      <c r="I56">
        <v>4</v>
      </c>
      <c r="J56" t="s">
        <v>160</v>
      </c>
      <c r="K56">
        <v>50</v>
      </c>
      <c r="L56" t="s">
        <v>161</v>
      </c>
      <c r="M56">
        <v>200</v>
      </c>
      <c r="N56" t="s">
        <v>162</v>
      </c>
    </row>
    <row r="57" spans="1:14" x14ac:dyDescent="0.25">
      <c r="A57" t="s">
        <v>167</v>
      </c>
      <c r="B57" s="1">
        <v>45665</v>
      </c>
      <c r="C57" t="s">
        <v>182</v>
      </c>
      <c r="D57" t="s">
        <v>157</v>
      </c>
      <c r="E57" t="s">
        <v>183</v>
      </c>
      <c r="F57" t="s">
        <v>157</v>
      </c>
      <c r="G57" t="s">
        <v>174</v>
      </c>
      <c r="H57" t="s">
        <v>159</v>
      </c>
      <c r="I57">
        <v>250</v>
      </c>
      <c r="J57" t="s">
        <v>160</v>
      </c>
      <c r="K57">
        <v>1</v>
      </c>
      <c r="L57" t="s">
        <v>161</v>
      </c>
      <c r="M57">
        <v>250</v>
      </c>
      <c r="N57" t="s">
        <v>162</v>
      </c>
    </row>
    <row r="58" spans="1:14" x14ac:dyDescent="0.25">
      <c r="A58" t="s">
        <v>156</v>
      </c>
      <c r="B58" s="1">
        <v>45667</v>
      </c>
      <c r="D58" t="s">
        <v>157</v>
      </c>
      <c r="E58" t="s">
        <v>183</v>
      </c>
      <c r="F58" t="s">
        <v>157</v>
      </c>
      <c r="G58" t="s">
        <v>157</v>
      </c>
      <c r="H58" t="s">
        <v>159</v>
      </c>
      <c r="I58">
        <v>250</v>
      </c>
      <c r="J58" t="s">
        <v>160</v>
      </c>
      <c r="K58">
        <v>12</v>
      </c>
      <c r="L58" t="s">
        <v>161</v>
      </c>
      <c r="M58">
        <v>3000</v>
      </c>
      <c r="N58" t="s">
        <v>162</v>
      </c>
    </row>
    <row r="59" spans="1:14" x14ac:dyDescent="0.25">
      <c r="A59" t="s">
        <v>156</v>
      </c>
      <c r="B59" s="1">
        <v>45666</v>
      </c>
      <c r="D59" t="s">
        <v>157</v>
      </c>
      <c r="E59" t="s">
        <v>183</v>
      </c>
      <c r="F59" t="s">
        <v>157</v>
      </c>
      <c r="G59" t="s">
        <v>157</v>
      </c>
      <c r="H59" t="s">
        <v>159</v>
      </c>
      <c r="I59">
        <v>250</v>
      </c>
      <c r="J59" t="s">
        <v>160</v>
      </c>
      <c r="K59">
        <v>43</v>
      </c>
      <c r="L59" t="s">
        <v>161</v>
      </c>
      <c r="M59">
        <v>10750</v>
      </c>
      <c r="N59" t="s">
        <v>162</v>
      </c>
    </row>
    <row r="60" spans="1:14" x14ac:dyDescent="0.25">
      <c r="A60" t="s">
        <v>164</v>
      </c>
      <c r="B60" s="1">
        <v>45664</v>
      </c>
      <c r="D60" t="s">
        <v>157</v>
      </c>
      <c r="E60" t="s">
        <v>184</v>
      </c>
      <c r="F60" t="s">
        <v>157</v>
      </c>
      <c r="G60" t="s">
        <v>158</v>
      </c>
      <c r="H60" t="s">
        <v>159</v>
      </c>
      <c r="I60">
        <v>50</v>
      </c>
      <c r="J60" t="s">
        <v>160</v>
      </c>
      <c r="K60">
        <v>19</v>
      </c>
      <c r="L60" t="s">
        <v>161</v>
      </c>
      <c r="M60">
        <v>950</v>
      </c>
      <c r="N60" t="s">
        <v>162</v>
      </c>
    </row>
    <row r="61" spans="1:14" x14ac:dyDescent="0.25">
      <c r="A61" t="s">
        <v>156</v>
      </c>
      <c r="B61" s="1">
        <v>45672</v>
      </c>
      <c r="D61" t="s">
        <v>157</v>
      </c>
      <c r="E61" t="s">
        <v>184</v>
      </c>
      <c r="F61" t="s">
        <v>157</v>
      </c>
      <c r="G61" t="s">
        <v>158</v>
      </c>
      <c r="H61" t="s">
        <v>159</v>
      </c>
      <c r="I61">
        <v>50</v>
      </c>
      <c r="J61" t="s">
        <v>160</v>
      </c>
      <c r="K61">
        <v>8</v>
      </c>
      <c r="L61" t="s">
        <v>161</v>
      </c>
      <c r="M61">
        <v>400</v>
      </c>
      <c r="N61" t="s">
        <v>162</v>
      </c>
    </row>
    <row r="62" spans="1:14" x14ac:dyDescent="0.25">
      <c r="A62" t="s">
        <v>168</v>
      </c>
      <c r="B62" s="1">
        <v>45664</v>
      </c>
      <c r="D62" t="s">
        <v>157</v>
      </c>
      <c r="E62" t="s">
        <v>184</v>
      </c>
      <c r="F62" t="s">
        <v>157</v>
      </c>
      <c r="G62" t="s">
        <v>158</v>
      </c>
      <c r="H62" t="s">
        <v>159</v>
      </c>
      <c r="I62">
        <v>50</v>
      </c>
      <c r="J62" t="s">
        <v>160</v>
      </c>
      <c r="K62">
        <v>50</v>
      </c>
      <c r="L62" t="s">
        <v>161</v>
      </c>
      <c r="M62">
        <v>2500</v>
      </c>
      <c r="N62" t="s">
        <v>162</v>
      </c>
    </row>
    <row r="63" spans="1:14" x14ac:dyDescent="0.25">
      <c r="A63" t="s">
        <v>167</v>
      </c>
      <c r="B63" s="1">
        <v>45664</v>
      </c>
      <c r="D63" t="s">
        <v>157</v>
      </c>
      <c r="E63" t="s">
        <v>184</v>
      </c>
      <c r="F63" t="s">
        <v>157</v>
      </c>
      <c r="G63" t="s">
        <v>158</v>
      </c>
      <c r="H63" t="s">
        <v>159</v>
      </c>
      <c r="I63">
        <v>50</v>
      </c>
      <c r="J63" t="s">
        <v>160</v>
      </c>
      <c r="K63">
        <v>25</v>
      </c>
      <c r="L63" t="s">
        <v>161</v>
      </c>
      <c r="M63">
        <v>1250</v>
      </c>
      <c r="N63" t="s">
        <v>162</v>
      </c>
    </row>
    <row r="64" spans="1:14" x14ac:dyDescent="0.25">
      <c r="A64" t="s">
        <v>163</v>
      </c>
      <c r="B64" s="1">
        <v>45664</v>
      </c>
      <c r="D64" t="s">
        <v>157</v>
      </c>
      <c r="E64" t="s">
        <v>184</v>
      </c>
      <c r="F64" t="s">
        <v>157</v>
      </c>
      <c r="G64" t="s">
        <v>158</v>
      </c>
      <c r="H64" t="s">
        <v>159</v>
      </c>
      <c r="I64">
        <v>50</v>
      </c>
      <c r="J64" t="s">
        <v>160</v>
      </c>
      <c r="K64">
        <v>21</v>
      </c>
      <c r="L64" t="s">
        <v>161</v>
      </c>
      <c r="M64">
        <v>1050</v>
      </c>
      <c r="N64" t="s">
        <v>162</v>
      </c>
    </row>
    <row r="65" spans="1:14" x14ac:dyDescent="0.25">
      <c r="A65" t="s">
        <v>156</v>
      </c>
      <c r="B65" s="1">
        <v>45664</v>
      </c>
      <c r="D65" t="s">
        <v>157</v>
      </c>
      <c r="E65" t="s">
        <v>184</v>
      </c>
      <c r="F65" t="s">
        <v>157</v>
      </c>
      <c r="G65" t="s">
        <v>158</v>
      </c>
      <c r="H65" t="s">
        <v>159</v>
      </c>
      <c r="I65">
        <v>50</v>
      </c>
      <c r="J65" t="s">
        <v>160</v>
      </c>
      <c r="K65">
        <v>42</v>
      </c>
      <c r="L65" t="s">
        <v>161</v>
      </c>
      <c r="M65">
        <v>2100</v>
      </c>
      <c r="N65" t="s">
        <v>162</v>
      </c>
    </row>
    <row r="66" spans="1:14" x14ac:dyDescent="0.25">
      <c r="A66" t="s">
        <v>165</v>
      </c>
      <c r="B66" s="1">
        <v>45666</v>
      </c>
      <c r="D66" t="s">
        <v>157</v>
      </c>
      <c r="E66" t="s">
        <v>185</v>
      </c>
      <c r="F66" t="s">
        <v>157</v>
      </c>
      <c r="G66" t="s">
        <v>166</v>
      </c>
      <c r="H66" t="s">
        <v>159</v>
      </c>
      <c r="I66">
        <v>2</v>
      </c>
      <c r="J66" t="s">
        <v>160</v>
      </c>
      <c r="K66">
        <v>24</v>
      </c>
      <c r="L66" t="s">
        <v>161</v>
      </c>
      <c r="M66">
        <v>48</v>
      </c>
      <c r="N66" t="s">
        <v>162</v>
      </c>
    </row>
    <row r="67" spans="1:14" x14ac:dyDescent="0.25">
      <c r="A67" t="s">
        <v>156</v>
      </c>
      <c r="B67" s="1">
        <v>45664</v>
      </c>
      <c r="D67" t="s">
        <v>157</v>
      </c>
      <c r="E67" t="s">
        <v>185</v>
      </c>
      <c r="F67" t="s">
        <v>157</v>
      </c>
      <c r="G67" t="s">
        <v>158</v>
      </c>
      <c r="H67" t="s">
        <v>159</v>
      </c>
      <c r="I67">
        <v>1</v>
      </c>
      <c r="J67" t="s">
        <v>160</v>
      </c>
      <c r="K67">
        <v>42</v>
      </c>
      <c r="L67" t="s">
        <v>161</v>
      </c>
      <c r="M67">
        <v>42</v>
      </c>
      <c r="N67" t="s">
        <v>162</v>
      </c>
    </row>
    <row r="68" spans="1:14" x14ac:dyDescent="0.25">
      <c r="A68" t="s">
        <v>165</v>
      </c>
      <c r="B68" s="1">
        <v>45663</v>
      </c>
      <c r="D68" t="s">
        <v>157</v>
      </c>
      <c r="E68" t="s">
        <v>186</v>
      </c>
      <c r="F68" t="s">
        <v>157</v>
      </c>
      <c r="G68" t="s">
        <v>158</v>
      </c>
      <c r="H68" t="s">
        <v>159</v>
      </c>
      <c r="I68">
        <v>2</v>
      </c>
      <c r="J68" t="s">
        <v>160</v>
      </c>
      <c r="K68">
        <v>24</v>
      </c>
      <c r="L68" t="s">
        <v>161</v>
      </c>
      <c r="M68">
        <v>48</v>
      </c>
      <c r="N68" t="s">
        <v>162</v>
      </c>
    </row>
    <row r="69" spans="1:14" x14ac:dyDescent="0.25">
      <c r="A69" t="s">
        <v>156</v>
      </c>
      <c r="B69" s="1">
        <v>45664</v>
      </c>
      <c r="D69" t="s">
        <v>157</v>
      </c>
      <c r="E69" t="s">
        <v>187</v>
      </c>
      <c r="F69" t="s">
        <v>157</v>
      </c>
      <c r="G69" t="s">
        <v>157</v>
      </c>
      <c r="H69" t="s">
        <v>159</v>
      </c>
      <c r="I69">
        <v>250</v>
      </c>
      <c r="J69" t="s">
        <v>160</v>
      </c>
      <c r="K69">
        <v>49</v>
      </c>
      <c r="L69" t="s">
        <v>161</v>
      </c>
      <c r="M69">
        <v>12250</v>
      </c>
      <c r="N69" t="s">
        <v>162</v>
      </c>
    </row>
    <row r="70" spans="1:14" x14ac:dyDescent="0.25">
      <c r="A70" t="s">
        <v>164</v>
      </c>
      <c r="B70" s="1">
        <v>45665</v>
      </c>
      <c r="D70" t="s">
        <v>157</v>
      </c>
      <c r="E70" t="s">
        <v>159</v>
      </c>
      <c r="F70" t="s">
        <v>157</v>
      </c>
      <c r="G70" t="s">
        <v>158</v>
      </c>
      <c r="H70" t="s">
        <v>159</v>
      </c>
      <c r="I70">
        <v>250</v>
      </c>
      <c r="J70" t="s">
        <v>160</v>
      </c>
      <c r="K70">
        <v>20</v>
      </c>
      <c r="L70" t="s">
        <v>161</v>
      </c>
      <c r="M70">
        <v>5000</v>
      </c>
      <c r="N70" t="s">
        <v>162</v>
      </c>
    </row>
    <row r="71" spans="1:14" x14ac:dyDescent="0.25">
      <c r="A71" t="s">
        <v>156</v>
      </c>
      <c r="B71" s="1">
        <v>45673</v>
      </c>
      <c r="D71" t="s">
        <v>157</v>
      </c>
      <c r="E71" t="s">
        <v>159</v>
      </c>
      <c r="F71" t="s">
        <v>157</v>
      </c>
      <c r="G71" t="s">
        <v>158</v>
      </c>
      <c r="H71" t="s">
        <v>159</v>
      </c>
      <c r="I71">
        <v>250</v>
      </c>
      <c r="J71" t="s">
        <v>160</v>
      </c>
      <c r="K71">
        <v>5</v>
      </c>
      <c r="L71" t="s">
        <v>161</v>
      </c>
      <c r="M71">
        <v>1250</v>
      </c>
      <c r="N71" t="s">
        <v>162</v>
      </c>
    </row>
    <row r="72" spans="1:14" x14ac:dyDescent="0.25">
      <c r="A72" t="s">
        <v>168</v>
      </c>
      <c r="B72" s="1">
        <v>45665</v>
      </c>
      <c r="D72" t="s">
        <v>157</v>
      </c>
      <c r="E72" t="s">
        <v>159</v>
      </c>
      <c r="F72" t="s">
        <v>157</v>
      </c>
      <c r="G72" t="s">
        <v>158</v>
      </c>
      <c r="H72" t="s">
        <v>159</v>
      </c>
      <c r="I72">
        <v>250</v>
      </c>
      <c r="J72" t="s">
        <v>160</v>
      </c>
      <c r="K72">
        <v>50</v>
      </c>
      <c r="L72" t="s">
        <v>161</v>
      </c>
      <c r="M72">
        <v>12500</v>
      </c>
      <c r="N72" t="s">
        <v>162</v>
      </c>
    </row>
    <row r="73" spans="1:14" x14ac:dyDescent="0.25">
      <c r="A73" t="s">
        <v>163</v>
      </c>
      <c r="B73" s="1">
        <v>45665</v>
      </c>
      <c r="D73" t="s">
        <v>157</v>
      </c>
      <c r="E73" t="s">
        <v>159</v>
      </c>
      <c r="F73" t="s">
        <v>157</v>
      </c>
      <c r="G73" t="s">
        <v>158</v>
      </c>
      <c r="H73" t="s">
        <v>159</v>
      </c>
      <c r="I73">
        <v>250</v>
      </c>
      <c r="J73" t="s">
        <v>160</v>
      </c>
      <c r="K73">
        <v>20</v>
      </c>
      <c r="L73" t="s">
        <v>161</v>
      </c>
      <c r="M73">
        <v>5000</v>
      </c>
      <c r="N73" t="s">
        <v>162</v>
      </c>
    </row>
    <row r="74" spans="1:14" x14ac:dyDescent="0.25">
      <c r="A74" t="s">
        <v>167</v>
      </c>
      <c r="B74" s="1">
        <v>45665</v>
      </c>
      <c r="D74" t="s">
        <v>157</v>
      </c>
      <c r="E74" t="s">
        <v>159</v>
      </c>
      <c r="F74" t="s">
        <v>157</v>
      </c>
      <c r="G74" t="s">
        <v>158</v>
      </c>
      <c r="H74" t="s">
        <v>159</v>
      </c>
      <c r="I74">
        <v>250</v>
      </c>
      <c r="J74" t="s">
        <v>160</v>
      </c>
      <c r="K74">
        <v>26</v>
      </c>
      <c r="L74" t="s">
        <v>161</v>
      </c>
      <c r="M74">
        <v>6500</v>
      </c>
      <c r="N74" t="s">
        <v>162</v>
      </c>
    </row>
    <row r="75" spans="1:14" x14ac:dyDescent="0.25">
      <c r="A75" t="s">
        <v>156</v>
      </c>
      <c r="B75" s="1">
        <v>45665</v>
      </c>
      <c r="D75" t="s">
        <v>157</v>
      </c>
      <c r="E75" t="s">
        <v>159</v>
      </c>
      <c r="F75" t="s">
        <v>157</v>
      </c>
      <c r="G75" t="s">
        <v>158</v>
      </c>
      <c r="H75" t="s">
        <v>159</v>
      </c>
      <c r="I75">
        <v>250</v>
      </c>
      <c r="J75" t="s">
        <v>160</v>
      </c>
      <c r="K75">
        <v>48</v>
      </c>
      <c r="L75" t="s">
        <v>161</v>
      </c>
      <c r="M75">
        <v>12000</v>
      </c>
      <c r="N75" t="s">
        <v>162</v>
      </c>
    </row>
    <row r="76" spans="1:14" x14ac:dyDescent="0.25">
      <c r="A76" t="s">
        <v>156</v>
      </c>
      <c r="B76" s="1">
        <v>45663</v>
      </c>
      <c r="C76" t="s">
        <v>33</v>
      </c>
      <c r="D76" t="s">
        <v>157</v>
      </c>
      <c r="E76" t="s">
        <v>188</v>
      </c>
      <c r="F76" t="s">
        <v>157</v>
      </c>
      <c r="G76" t="s">
        <v>158</v>
      </c>
      <c r="H76" t="s">
        <v>159</v>
      </c>
      <c r="I76">
        <v>100</v>
      </c>
      <c r="J76" t="s">
        <v>160</v>
      </c>
      <c r="K76">
        <v>1</v>
      </c>
      <c r="L76" t="s">
        <v>161</v>
      </c>
      <c r="M76">
        <v>100</v>
      </c>
      <c r="N76" t="s">
        <v>162</v>
      </c>
    </row>
    <row r="77" spans="1:14" x14ac:dyDescent="0.25">
      <c r="A77" t="s">
        <v>165</v>
      </c>
      <c r="B77" s="1">
        <v>45663</v>
      </c>
      <c r="D77" t="s">
        <v>157</v>
      </c>
      <c r="E77" t="s">
        <v>189</v>
      </c>
      <c r="F77" t="s">
        <v>157</v>
      </c>
      <c r="G77" t="s">
        <v>158</v>
      </c>
      <c r="H77" t="s">
        <v>159</v>
      </c>
      <c r="I77">
        <v>1</v>
      </c>
      <c r="J77" t="s">
        <v>160</v>
      </c>
      <c r="K77">
        <v>24</v>
      </c>
      <c r="L77" t="s">
        <v>161</v>
      </c>
      <c r="M77">
        <v>24</v>
      </c>
      <c r="N77" t="s">
        <v>162</v>
      </c>
    </row>
    <row r="78" spans="1:14" x14ac:dyDescent="0.25">
      <c r="A78" t="s">
        <v>165</v>
      </c>
      <c r="B78" s="1">
        <v>45665</v>
      </c>
      <c r="D78" t="s">
        <v>157</v>
      </c>
      <c r="E78" t="s">
        <v>190</v>
      </c>
      <c r="F78" t="s">
        <v>157</v>
      </c>
      <c r="G78" t="s">
        <v>158</v>
      </c>
      <c r="H78" t="s">
        <v>159</v>
      </c>
      <c r="I78">
        <v>1</v>
      </c>
      <c r="J78" t="s">
        <v>160</v>
      </c>
      <c r="K78">
        <v>24</v>
      </c>
      <c r="L78" t="s">
        <v>161</v>
      </c>
      <c r="M78">
        <v>24</v>
      </c>
      <c r="N78" t="s">
        <v>162</v>
      </c>
    </row>
    <row r="79" spans="1:14" x14ac:dyDescent="0.25">
      <c r="A79" t="s">
        <v>165</v>
      </c>
      <c r="B79" s="1">
        <v>45666</v>
      </c>
      <c r="D79" t="s">
        <v>157</v>
      </c>
      <c r="E79" t="s">
        <v>191</v>
      </c>
      <c r="F79" t="s">
        <v>157</v>
      </c>
      <c r="G79" t="s">
        <v>166</v>
      </c>
      <c r="H79" t="s">
        <v>159</v>
      </c>
      <c r="I79">
        <v>2</v>
      </c>
      <c r="J79" t="s">
        <v>160</v>
      </c>
      <c r="K79">
        <v>24</v>
      </c>
      <c r="L79" t="s">
        <v>161</v>
      </c>
      <c r="M79">
        <v>48</v>
      </c>
      <c r="N79" t="s">
        <v>162</v>
      </c>
    </row>
    <row r="80" spans="1:14" x14ac:dyDescent="0.25">
      <c r="A80" t="s">
        <v>156</v>
      </c>
      <c r="B80" s="1">
        <v>45662</v>
      </c>
      <c r="D80" t="s">
        <v>157</v>
      </c>
      <c r="E80" t="s">
        <v>192</v>
      </c>
      <c r="F80" t="s">
        <v>157</v>
      </c>
      <c r="G80" t="s">
        <v>157</v>
      </c>
      <c r="H80" t="s">
        <v>159</v>
      </c>
      <c r="I80">
        <v>250</v>
      </c>
      <c r="J80" t="s">
        <v>160</v>
      </c>
      <c r="K80">
        <v>43</v>
      </c>
      <c r="L80" t="s">
        <v>161</v>
      </c>
      <c r="M80">
        <v>10750</v>
      </c>
      <c r="N80" t="s">
        <v>162</v>
      </c>
    </row>
    <row r="81" spans="1:14" x14ac:dyDescent="0.25">
      <c r="A81" t="s">
        <v>156</v>
      </c>
      <c r="B81" s="1">
        <v>45665</v>
      </c>
      <c r="C81" t="s">
        <v>64</v>
      </c>
      <c r="D81" t="s">
        <v>157</v>
      </c>
      <c r="E81" t="s">
        <v>193</v>
      </c>
      <c r="F81" t="s">
        <v>157</v>
      </c>
      <c r="G81" t="s">
        <v>174</v>
      </c>
      <c r="H81" t="s">
        <v>159</v>
      </c>
      <c r="I81">
        <v>100</v>
      </c>
      <c r="J81" t="s">
        <v>160</v>
      </c>
      <c r="K81">
        <v>1</v>
      </c>
      <c r="L81" t="s">
        <v>161</v>
      </c>
      <c r="M81">
        <v>100</v>
      </c>
      <c r="N81" t="s">
        <v>162</v>
      </c>
    </row>
    <row r="82" spans="1:14" x14ac:dyDescent="0.25">
      <c r="A82" t="s">
        <v>167</v>
      </c>
      <c r="B82" s="1">
        <v>45662</v>
      </c>
      <c r="C82" t="s">
        <v>182</v>
      </c>
      <c r="D82" t="s">
        <v>157</v>
      </c>
      <c r="E82" t="s">
        <v>193</v>
      </c>
      <c r="F82" t="s">
        <v>157</v>
      </c>
      <c r="G82" t="s">
        <v>174</v>
      </c>
      <c r="H82" t="s">
        <v>159</v>
      </c>
      <c r="I82">
        <v>90</v>
      </c>
      <c r="J82" t="s">
        <v>160</v>
      </c>
      <c r="K82">
        <v>1</v>
      </c>
      <c r="L82" t="s">
        <v>161</v>
      </c>
      <c r="M82">
        <v>90</v>
      </c>
      <c r="N82" t="s">
        <v>162</v>
      </c>
    </row>
    <row r="83" spans="1:14" x14ac:dyDescent="0.25">
      <c r="A83" t="s">
        <v>167</v>
      </c>
      <c r="B83" s="1">
        <v>45664</v>
      </c>
      <c r="C83" t="s">
        <v>182</v>
      </c>
      <c r="D83" t="s">
        <v>157</v>
      </c>
      <c r="E83" t="s">
        <v>193</v>
      </c>
      <c r="F83" t="s">
        <v>157</v>
      </c>
      <c r="G83" t="s">
        <v>174</v>
      </c>
      <c r="H83" t="s">
        <v>159</v>
      </c>
      <c r="I83">
        <v>100</v>
      </c>
      <c r="J83" t="s">
        <v>160</v>
      </c>
      <c r="K83">
        <v>1</v>
      </c>
      <c r="L83" t="s">
        <v>161</v>
      </c>
      <c r="M83">
        <v>100</v>
      </c>
      <c r="N83" t="s">
        <v>162</v>
      </c>
    </row>
    <row r="84" spans="1:14" x14ac:dyDescent="0.25">
      <c r="A84" t="s">
        <v>167</v>
      </c>
      <c r="B84" s="1">
        <v>45666</v>
      </c>
      <c r="C84" t="s">
        <v>182</v>
      </c>
      <c r="D84" t="s">
        <v>157</v>
      </c>
      <c r="E84" t="s">
        <v>193</v>
      </c>
      <c r="F84" t="s">
        <v>157</v>
      </c>
      <c r="G84" t="s">
        <v>174</v>
      </c>
      <c r="H84" t="s">
        <v>159</v>
      </c>
      <c r="I84">
        <v>90</v>
      </c>
      <c r="J84" t="s">
        <v>160</v>
      </c>
      <c r="K84">
        <v>1</v>
      </c>
      <c r="L84" t="s">
        <v>161</v>
      </c>
      <c r="M84">
        <v>90</v>
      </c>
      <c r="N84" t="s">
        <v>162</v>
      </c>
    </row>
    <row r="85" spans="1:14" x14ac:dyDescent="0.25">
      <c r="A85" t="s">
        <v>164</v>
      </c>
      <c r="B85" s="1">
        <v>45666</v>
      </c>
      <c r="D85" t="s">
        <v>157</v>
      </c>
      <c r="E85" t="s">
        <v>194</v>
      </c>
      <c r="F85" t="s">
        <v>157</v>
      </c>
      <c r="G85" t="s">
        <v>158</v>
      </c>
      <c r="H85" t="s">
        <v>159</v>
      </c>
      <c r="I85">
        <v>1</v>
      </c>
      <c r="J85" t="s">
        <v>160</v>
      </c>
      <c r="K85">
        <v>21</v>
      </c>
      <c r="L85" t="s">
        <v>161</v>
      </c>
      <c r="M85">
        <v>21</v>
      </c>
      <c r="N85" t="s">
        <v>162</v>
      </c>
    </row>
    <row r="86" spans="1:14" x14ac:dyDescent="0.25">
      <c r="A86" t="s">
        <v>163</v>
      </c>
      <c r="B86" s="1">
        <v>45666</v>
      </c>
      <c r="D86" t="s">
        <v>157</v>
      </c>
      <c r="E86" t="s">
        <v>194</v>
      </c>
      <c r="F86" t="s">
        <v>157</v>
      </c>
      <c r="G86" t="s">
        <v>158</v>
      </c>
      <c r="H86" t="s">
        <v>159</v>
      </c>
      <c r="I86">
        <v>1</v>
      </c>
      <c r="J86" t="s">
        <v>160</v>
      </c>
      <c r="K86">
        <v>20</v>
      </c>
      <c r="L86" t="s">
        <v>161</v>
      </c>
      <c r="M86">
        <v>20</v>
      </c>
      <c r="N86" t="s">
        <v>162</v>
      </c>
    </row>
    <row r="87" spans="1:14" x14ac:dyDescent="0.25">
      <c r="A87" t="s">
        <v>167</v>
      </c>
      <c r="B87" s="1">
        <v>45666</v>
      </c>
      <c r="D87" t="s">
        <v>157</v>
      </c>
      <c r="E87" t="s">
        <v>194</v>
      </c>
      <c r="F87" t="s">
        <v>157</v>
      </c>
      <c r="G87" t="s">
        <v>158</v>
      </c>
      <c r="H87" t="s">
        <v>159</v>
      </c>
      <c r="I87">
        <v>1</v>
      </c>
      <c r="J87" t="s">
        <v>160</v>
      </c>
      <c r="K87">
        <v>22</v>
      </c>
      <c r="L87" t="s">
        <v>161</v>
      </c>
      <c r="M87">
        <v>22</v>
      </c>
      <c r="N87" t="s">
        <v>162</v>
      </c>
    </row>
    <row r="88" spans="1:14" x14ac:dyDescent="0.25">
      <c r="A88" t="s">
        <v>172</v>
      </c>
      <c r="B88" s="1">
        <v>45667</v>
      </c>
      <c r="D88" t="s">
        <v>157</v>
      </c>
      <c r="E88" t="s">
        <v>194</v>
      </c>
      <c r="F88" t="s">
        <v>157</v>
      </c>
      <c r="G88" t="s">
        <v>158</v>
      </c>
      <c r="H88" t="s">
        <v>159</v>
      </c>
      <c r="I88">
        <v>1</v>
      </c>
      <c r="J88" t="s">
        <v>160</v>
      </c>
      <c r="K88">
        <v>8</v>
      </c>
      <c r="L88" t="s">
        <v>161</v>
      </c>
      <c r="M88">
        <v>8</v>
      </c>
      <c r="N88" t="s">
        <v>162</v>
      </c>
    </row>
    <row r="89" spans="1:14" x14ac:dyDescent="0.25">
      <c r="A89" t="s">
        <v>168</v>
      </c>
      <c r="B89" s="1">
        <v>45666</v>
      </c>
      <c r="D89" t="s">
        <v>157</v>
      </c>
      <c r="E89" t="s">
        <v>194</v>
      </c>
      <c r="F89" t="s">
        <v>157</v>
      </c>
      <c r="G89" t="s">
        <v>158</v>
      </c>
      <c r="H89" t="s">
        <v>159</v>
      </c>
      <c r="I89">
        <v>1</v>
      </c>
      <c r="J89" t="s">
        <v>160</v>
      </c>
      <c r="K89">
        <v>50</v>
      </c>
      <c r="L89" t="s">
        <v>161</v>
      </c>
      <c r="M89">
        <v>50</v>
      </c>
      <c r="N89" t="s">
        <v>162</v>
      </c>
    </row>
    <row r="90" spans="1:14" x14ac:dyDescent="0.25">
      <c r="A90" t="s">
        <v>156</v>
      </c>
      <c r="B90" s="1">
        <v>45667</v>
      </c>
      <c r="D90" t="s">
        <v>157</v>
      </c>
      <c r="E90" t="s">
        <v>194</v>
      </c>
      <c r="F90" t="s">
        <v>157</v>
      </c>
      <c r="G90" t="s">
        <v>158</v>
      </c>
      <c r="H90" t="s">
        <v>159</v>
      </c>
      <c r="I90">
        <v>1</v>
      </c>
      <c r="J90" t="s">
        <v>160</v>
      </c>
      <c r="K90">
        <v>12</v>
      </c>
      <c r="L90" t="s">
        <v>161</v>
      </c>
      <c r="M90">
        <v>12</v>
      </c>
      <c r="N90" t="s">
        <v>162</v>
      </c>
    </row>
    <row r="91" spans="1:14" x14ac:dyDescent="0.25">
      <c r="A91" t="s">
        <v>156</v>
      </c>
      <c r="B91" s="1">
        <v>45666</v>
      </c>
      <c r="D91" t="s">
        <v>157</v>
      </c>
      <c r="E91" t="s">
        <v>194</v>
      </c>
      <c r="F91" t="s">
        <v>157</v>
      </c>
      <c r="G91" t="s">
        <v>158</v>
      </c>
      <c r="H91" t="s">
        <v>159</v>
      </c>
      <c r="I91">
        <v>1</v>
      </c>
      <c r="J91" t="s">
        <v>160</v>
      </c>
      <c r="K91">
        <v>49</v>
      </c>
      <c r="L91" t="s">
        <v>161</v>
      </c>
      <c r="M91">
        <v>49</v>
      </c>
      <c r="N91" t="s">
        <v>162</v>
      </c>
    </row>
    <row r="92" spans="1:14" x14ac:dyDescent="0.25">
      <c r="A92" t="s">
        <v>156</v>
      </c>
      <c r="B92" s="1">
        <v>45664</v>
      </c>
      <c r="D92" t="s">
        <v>157</v>
      </c>
      <c r="E92" t="s">
        <v>194</v>
      </c>
      <c r="F92" t="s">
        <v>157</v>
      </c>
      <c r="G92" t="s">
        <v>158</v>
      </c>
      <c r="H92" t="s">
        <v>159</v>
      </c>
      <c r="I92">
        <v>1</v>
      </c>
      <c r="J92" t="s">
        <v>160</v>
      </c>
      <c r="K92">
        <v>50</v>
      </c>
      <c r="L92" t="s">
        <v>161</v>
      </c>
      <c r="M92">
        <v>50</v>
      </c>
      <c r="N92" t="s">
        <v>162</v>
      </c>
    </row>
    <row r="93" spans="1:14" x14ac:dyDescent="0.25">
      <c r="A93" t="s">
        <v>164</v>
      </c>
      <c r="B93" s="1">
        <v>45665</v>
      </c>
      <c r="D93" t="s">
        <v>157</v>
      </c>
      <c r="E93" t="s">
        <v>195</v>
      </c>
      <c r="F93" t="s">
        <v>157</v>
      </c>
      <c r="G93" t="s">
        <v>158</v>
      </c>
      <c r="H93" t="s">
        <v>159</v>
      </c>
      <c r="I93">
        <v>1</v>
      </c>
      <c r="J93" t="s">
        <v>160</v>
      </c>
      <c r="K93">
        <v>21</v>
      </c>
      <c r="L93" t="s">
        <v>161</v>
      </c>
      <c r="M93">
        <v>21</v>
      </c>
      <c r="N93" t="s">
        <v>162</v>
      </c>
    </row>
    <row r="94" spans="1:14" x14ac:dyDescent="0.25">
      <c r="A94" t="s">
        <v>156</v>
      </c>
      <c r="B94" s="1">
        <v>45673</v>
      </c>
      <c r="D94" t="s">
        <v>157</v>
      </c>
      <c r="E94" t="s">
        <v>195</v>
      </c>
      <c r="F94" t="s">
        <v>157</v>
      </c>
      <c r="G94" t="s">
        <v>158</v>
      </c>
      <c r="H94" t="s">
        <v>159</v>
      </c>
      <c r="I94">
        <v>1</v>
      </c>
      <c r="J94" t="s">
        <v>160</v>
      </c>
      <c r="K94">
        <v>5</v>
      </c>
      <c r="L94" t="s">
        <v>161</v>
      </c>
      <c r="M94">
        <v>5</v>
      </c>
      <c r="N94" t="s">
        <v>162</v>
      </c>
    </row>
    <row r="95" spans="1:14" x14ac:dyDescent="0.25">
      <c r="A95" t="s">
        <v>168</v>
      </c>
      <c r="B95" s="1">
        <v>45665</v>
      </c>
      <c r="D95" t="s">
        <v>157</v>
      </c>
      <c r="E95" t="s">
        <v>195</v>
      </c>
      <c r="F95" t="s">
        <v>157</v>
      </c>
      <c r="G95" t="s">
        <v>158</v>
      </c>
      <c r="H95" t="s">
        <v>159</v>
      </c>
      <c r="I95">
        <v>1</v>
      </c>
      <c r="J95" t="s">
        <v>160</v>
      </c>
      <c r="K95">
        <v>50</v>
      </c>
      <c r="L95" t="s">
        <v>161</v>
      </c>
      <c r="M95">
        <v>50</v>
      </c>
      <c r="N95" t="s">
        <v>162</v>
      </c>
    </row>
    <row r="96" spans="1:14" x14ac:dyDescent="0.25">
      <c r="A96" t="s">
        <v>163</v>
      </c>
      <c r="B96" s="1">
        <v>45665</v>
      </c>
      <c r="D96" t="s">
        <v>157</v>
      </c>
      <c r="E96" t="s">
        <v>195</v>
      </c>
      <c r="F96" t="s">
        <v>157</v>
      </c>
      <c r="G96" t="s">
        <v>158</v>
      </c>
      <c r="H96" t="s">
        <v>159</v>
      </c>
      <c r="I96">
        <v>1</v>
      </c>
      <c r="J96" t="s">
        <v>160</v>
      </c>
      <c r="K96">
        <v>20</v>
      </c>
      <c r="L96" t="s">
        <v>161</v>
      </c>
      <c r="M96">
        <v>20</v>
      </c>
      <c r="N96" t="s">
        <v>162</v>
      </c>
    </row>
    <row r="97" spans="1:14" x14ac:dyDescent="0.25">
      <c r="A97" t="s">
        <v>167</v>
      </c>
      <c r="B97" s="1">
        <v>45665</v>
      </c>
      <c r="D97" t="s">
        <v>157</v>
      </c>
      <c r="E97" t="s">
        <v>195</v>
      </c>
      <c r="F97" t="s">
        <v>157</v>
      </c>
      <c r="G97" t="s">
        <v>158</v>
      </c>
      <c r="H97" t="s">
        <v>159</v>
      </c>
      <c r="I97">
        <v>1</v>
      </c>
      <c r="J97" t="s">
        <v>160</v>
      </c>
      <c r="K97">
        <v>28</v>
      </c>
      <c r="L97" t="s">
        <v>161</v>
      </c>
      <c r="M97">
        <v>28</v>
      </c>
      <c r="N97" t="s">
        <v>162</v>
      </c>
    </row>
    <row r="98" spans="1:14" x14ac:dyDescent="0.25">
      <c r="A98" t="s">
        <v>156</v>
      </c>
      <c r="B98" s="1">
        <v>45665</v>
      </c>
      <c r="D98" t="s">
        <v>157</v>
      </c>
      <c r="E98" t="s">
        <v>195</v>
      </c>
      <c r="F98" t="s">
        <v>157</v>
      </c>
      <c r="G98" t="s">
        <v>158</v>
      </c>
      <c r="H98" t="s">
        <v>159</v>
      </c>
      <c r="I98">
        <v>1</v>
      </c>
      <c r="J98" t="s">
        <v>160</v>
      </c>
      <c r="K98">
        <v>50</v>
      </c>
      <c r="L98" t="s">
        <v>161</v>
      </c>
      <c r="M98">
        <v>50</v>
      </c>
      <c r="N98" t="s">
        <v>162</v>
      </c>
    </row>
    <row r="99" spans="1:14" x14ac:dyDescent="0.25">
      <c r="A99" t="s">
        <v>165</v>
      </c>
      <c r="B99" s="1">
        <v>45666</v>
      </c>
      <c r="D99" t="s">
        <v>157</v>
      </c>
      <c r="E99" t="s">
        <v>196</v>
      </c>
      <c r="F99" t="s">
        <v>157</v>
      </c>
      <c r="G99" t="s">
        <v>166</v>
      </c>
      <c r="H99" t="s">
        <v>159</v>
      </c>
      <c r="I99">
        <v>1</v>
      </c>
      <c r="J99" t="s">
        <v>160</v>
      </c>
      <c r="K99">
        <v>24</v>
      </c>
      <c r="L99" t="s">
        <v>161</v>
      </c>
      <c r="M99">
        <v>24</v>
      </c>
      <c r="N99" t="s">
        <v>162</v>
      </c>
    </row>
    <row r="100" spans="1:14" x14ac:dyDescent="0.25">
      <c r="A100" t="s">
        <v>165</v>
      </c>
      <c r="B100" s="1">
        <v>45667</v>
      </c>
      <c r="D100" t="s">
        <v>157</v>
      </c>
      <c r="E100" t="s">
        <v>197</v>
      </c>
      <c r="F100" t="s">
        <v>157</v>
      </c>
      <c r="G100" t="s">
        <v>158</v>
      </c>
      <c r="H100" t="s">
        <v>159</v>
      </c>
      <c r="I100">
        <v>1</v>
      </c>
      <c r="J100" t="s">
        <v>160</v>
      </c>
      <c r="K100">
        <v>24</v>
      </c>
      <c r="L100" t="s">
        <v>161</v>
      </c>
      <c r="M100">
        <v>24</v>
      </c>
      <c r="N100" t="s">
        <v>162</v>
      </c>
    </row>
    <row r="101" spans="1:14" x14ac:dyDescent="0.25">
      <c r="A101" t="s">
        <v>156</v>
      </c>
      <c r="B101" s="1">
        <v>45662</v>
      </c>
      <c r="C101" t="s">
        <v>72</v>
      </c>
      <c r="D101" t="s">
        <v>157</v>
      </c>
      <c r="E101" t="s">
        <v>184</v>
      </c>
      <c r="F101" t="s">
        <v>157</v>
      </c>
      <c r="G101" t="s">
        <v>174</v>
      </c>
      <c r="H101" t="s">
        <v>159</v>
      </c>
      <c r="I101">
        <v>2</v>
      </c>
      <c r="J101" t="s">
        <v>160</v>
      </c>
      <c r="K101">
        <v>1</v>
      </c>
      <c r="L101" t="s">
        <v>161</v>
      </c>
      <c r="M101">
        <v>2</v>
      </c>
      <c r="N101" t="s">
        <v>162</v>
      </c>
    </row>
    <row r="102" spans="1:14" x14ac:dyDescent="0.25">
      <c r="A102" t="s">
        <v>164</v>
      </c>
      <c r="B102" s="1">
        <v>45664</v>
      </c>
      <c r="D102" t="s">
        <v>157</v>
      </c>
      <c r="E102" t="s">
        <v>184</v>
      </c>
      <c r="F102" t="s">
        <v>157</v>
      </c>
      <c r="G102" t="s">
        <v>158</v>
      </c>
      <c r="H102" t="s">
        <v>159</v>
      </c>
      <c r="I102">
        <v>1</v>
      </c>
      <c r="J102" t="s">
        <v>160</v>
      </c>
      <c r="K102">
        <v>19</v>
      </c>
      <c r="L102" t="s">
        <v>161</v>
      </c>
      <c r="M102">
        <v>19</v>
      </c>
      <c r="N102" t="s">
        <v>162</v>
      </c>
    </row>
    <row r="103" spans="1:14" x14ac:dyDescent="0.25">
      <c r="A103" t="s">
        <v>156</v>
      </c>
      <c r="B103" s="1">
        <v>45672</v>
      </c>
      <c r="D103" t="s">
        <v>157</v>
      </c>
      <c r="E103" t="s">
        <v>184</v>
      </c>
      <c r="F103" t="s">
        <v>157</v>
      </c>
      <c r="G103" t="s">
        <v>158</v>
      </c>
      <c r="H103" t="s">
        <v>159</v>
      </c>
      <c r="I103">
        <v>1</v>
      </c>
      <c r="J103" t="s">
        <v>160</v>
      </c>
      <c r="K103">
        <v>8</v>
      </c>
      <c r="L103" t="s">
        <v>161</v>
      </c>
      <c r="M103">
        <v>8</v>
      </c>
      <c r="N103" t="s">
        <v>162</v>
      </c>
    </row>
    <row r="104" spans="1:14" x14ac:dyDescent="0.25">
      <c r="A104" t="s">
        <v>168</v>
      </c>
      <c r="B104" s="1">
        <v>45664</v>
      </c>
      <c r="D104" t="s">
        <v>157</v>
      </c>
      <c r="E104" t="s">
        <v>184</v>
      </c>
      <c r="F104" t="s">
        <v>157</v>
      </c>
      <c r="G104" t="s">
        <v>158</v>
      </c>
      <c r="H104" t="s">
        <v>159</v>
      </c>
      <c r="I104">
        <v>1</v>
      </c>
      <c r="J104" t="s">
        <v>160</v>
      </c>
      <c r="K104">
        <v>50</v>
      </c>
      <c r="L104" t="s">
        <v>161</v>
      </c>
      <c r="M104">
        <v>50</v>
      </c>
      <c r="N104" t="s">
        <v>162</v>
      </c>
    </row>
    <row r="105" spans="1:14" x14ac:dyDescent="0.25">
      <c r="A105" t="s">
        <v>167</v>
      </c>
      <c r="B105" s="1">
        <v>45664</v>
      </c>
      <c r="D105" t="s">
        <v>157</v>
      </c>
      <c r="E105" t="s">
        <v>184</v>
      </c>
      <c r="F105" t="s">
        <v>157</v>
      </c>
      <c r="G105" t="s">
        <v>158</v>
      </c>
      <c r="H105" t="s">
        <v>159</v>
      </c>
      <c r="I105">
        <v>1</v>
      </c>
      <c r="J105" t="s">
        <v>160</v>
      </c>
      <c r="K105">
        <v>25</v>
      </c>
      <c r="L105" t="s">
        <v>161</v>
      </c>
      <c r="M105">
        <v>25</v>
      </c>
      <c r="N105" t="s">
        <v>162</v>
      </c>
    </row>
    <row r="106" spans="1:14" x14ac:dyDescent="0.25">
      <c r="A106" t="s">
        <v>163</v>
      </c>
      <c r="B106" s="1">
        <v>45664</v>
      </c>
      <c r="D106" t="s">
        <v>157</v>
      </c>
      <c r="E106" t="s">
        <v>184</v>
      </c>
      <c r="F106" t="s">
        <v>157</v>
      </c>
      <c r="G106" t="s">
        <v>158</v>
      </c>
      <c r="H106" t="s">
        <v>159</v>
      </c>
      <c r="I106">
        <v>1</v>
      </c>
      <c r="J106" t="s">
        <v>160</v>
      </c>
      <c r="K106">
        <v>21</v>
      </c>
      <c r="L106" t="s">
        <v>161</v>
      </c>
      <c r="M106">
        <v>21</v>
      </c>
      <c r="N106" t="s">
        <v>162</v>
      </c>
    </row>
    <row r="107" spans="1:14" x14ac:dyDescent="0.25">
      <c r="A107" t="s">
        <v>156</v>
      </c>
      <c r="B107" s="1">
        <v>45664</v>
      </c>
      <c r="D107" t="s">
        <v>157</v>
      </c>
      <c r="E107" t="s">
        <v>184</v>
      </c>
      <c r="F107" t="s">
        <v>157</v>
      </c>
      <c r="G107" t="s">
        <v>158</v>
      </c>
      <c r="H107" t="s">
        <v>159</v>
      </c>
      <c r="I107">
        <v>1</v>
      </c>
      <c r="J107" t="s">
        <v>160</v>
      </c>
      <c r="K107">
        <v>50</v>
      </c>
      <c r="L107" t="s">
        <v>161</v>
      </c>
      <c r="M107">
        <v>50</v>
      </c>
      <c r="N107" t="s">
        <v>162</v>
      </c>
    </row>
    <row r="108" spans="1:14" x14ac:dyDescent="0.25">
      <c r="A108" t="s">
        <v>165</v>
      </c>
      <c r="B108" s="1">
        <v>45664</v>
      </c>
      <c r="D108" t="s">
        <v>157</v>
      </c>
      <c r="E108" t="s">
        <v>184</v>
      </c>
      <c r="F108" t="s">
        <v>157</v>
      </c>
      <c r="G108" t="s">
        <v>158</v>
      </c>
      <c r="H108" t="s">
        <v>159</v>
      </c>
      <c r="I108">
        <v>24</v>
      </c>
      <c r="J108" t="s">
        <v>160</v>
      </c>
      <c r="K108">
        <v>24</v>
      </c>
      <c r="L108" t="s">
        <v>161</v>
      </c>
      <c r="M108">
        <v>576</v>
      </c>
      <c r="N108" t="s">
        <v>162</v>
      </c>
    </row>
    <row r="109" spans="1:14" x14ac:dyDescent="0.25">
      <c r="A109" t="s">
        <v>156</v>
      </c>
      <c r="B109" s="1">
        <v>45666</v>
      </c>
      <c r="C109" t="s">
        <v>33</v>
      </c>
      <c r="D109" t="s">
        <v>157</v>
      </c>
      <c r="E109" t="s">
        <v>198</v>
      </c>
      <c r="F109" t="s">
        <v>157</v>
      </c>
      <c r="G109" t="s">
        <v>174</v>
      </c>
      <c r="H109" t="s">
        <v>159</v>
      </c>
      <c r="I109">
        <v>1</v>
      </c>
      <c r="J109" t="s">
        <v>160</v>
      </c>
      <c r="K109">
        <v>1</v>
      </c>
      <c r="L109" t="s">
        <v>161</v>
      </c>
      <c r="M109">
        <v>1</v>
      </c>
      <c r="N109" t="s">
        <v>162</v>
      </c>
    </row>
    <row r="110" spans="1:14" x14ac:dyDescent="0.25">
      <c r="A110" t="s">
        <v>156</v>
      </c>
      <c r="B110" s="1">
        <v>45663</v>
      </c>
      <c r="C110" t="s">
        <v>33</v>
      </c>
      <c r="D110" t="s">
        <v>157</v>
      </c>
      <c r="E110" t="s">
        <v>199</v>
      </c>
      <c r="F110" t="s">
        <v>157</v>
      </c>
      <c r="G110" t="s">
        <v>158</v>
      </c>
      <c r="H110" t="s">
        <v>159</v>
      </c>
      <c r="I110">
        <v>1</v>
      </c>
      <c r="J110" t="s">
        <v>160</v>
      </c>
      <c r="K110">
        <v>50</v>
      </c>
      <c r="L110" t="s">
        <v>161</v>
      </c>
      <c r="M110">
        <v>1</v>
      </c>
      <c r="N110" t="s">
        <v>162</v>
      </c>
    </row>
    <row r="111" spans="1:14" x14ac:dyDescent="0.25">
      <c r="A111" t="s">
        <v>156</v>
      </c>
      <c r="B111" s="1">
        <v>45666</v>
      </c>
      <c r="C111" t="s">
        <v>33</v>
      </c>
      <c r="D111" t="s">
        <v>157</v>
      </c>
      <c r="E111" t="s">
        <v>200</v>
      </c>
      <c r="F111" t="s">
        <v>157</v>
      </c>
      <c r="G111" t="s">
        <v>174</v>
      </c>
      <c r="H111" t="s">
        <v>159</v>
      </c>
      <c r="I111">
        <v>1</v>
      </c>
      <c r="J111" t="s">
        <v>160</v>
      </c>
      <c r="K111">
        <v>1</v>
      </c>
      <c r="L111" t="s">
        <v>161</v>
      </c>
      <c r="M111">
        <v>1</v>
      </c>
      <c r="N111" t="s">
        <v>162</v>
      </c>
    </row>
    <row r="112" spans="1:14" x14ac:dyDescent="0.25">
      <c r="A112" t="s">
        <v>164</v>
      </c>
      <c r="B112" s="1">
        <v>45666</v>
      </c>
      <c r="C112" t="s">
        <v>83</v>
      </c>
      <c r="D112" t="s">
        <v>157</v>
      </c>
      <c r="E112" t="s">
        <v>200</v>
      </c>
      <c r="F112" t="s">
        <v>157</v>
      </c>
      <c r="G112" t="s">
        <v>174</v>
      </c>
      <c r="H112" t="s">
        <v>159</v>
      </c>
      <c r="I112">
        <v>1</v>
      </c>
      <c r="J112" t="s">
        <v>160</v>
      </c>
      <c r="K112">
        <v>1</v>
      </c>
      <c r="L112" t="s">
        <v>161</v>
      </c>
      <c r="M112">
        <v>1</v>
      </c>
      <c r="N112" t="s">
        <v>162</v>
      </c>
    </row>
    <row r="113" spans="1:14" x14ac:dyDescent="0.25">
      <c r="A113" t="s">
        <v>165</v>
      </c>
      <c r="B113" s="1">
        <v>45668</v>
      </c>
      <c r="D113" t="s">
        <v>157</v>
      </c>
      <c r="E113" t="s">
        <v>201</v>
      </c>
      <c r="F113" t="s">
        <v>157</v>
      </c>
      <c r="G113" t="s">
        <v>158</v>
      </c>
      <c r="H113" t="s">
        <v>159</v>
      </c>
      <c r="I113">
        <v>1</v>
      </c>
      <c r="J113" t="s">
        <v>160</v>
      </c>
      <c r="K113">
        <v>24</v>
      </c>
      <c r="L113" t="s">
        <v>161</v>
      </c>
      <c r="M113">
        <v>24</v>
      </c>
      <c r="N113" t="s">
        <v>162</v>
      </c>
    </row>
    <row r="114" spans="1:14" x14ac:dyDescent="0.25">
      <c r="A114" t="s">
        <v>156</v>
      </c>
      <c r="B114" s="1">
        <v>45663</v>
      </c>
      <c r="D114" t="s">
        <v>157</v>
      </c>
      <c r="E114" t="s">
        <v>202</v>
      </c>
      <c r="F114" t="s">
        <v>157</v>
      </c>
      <c r="G114" t="s">
        <v>158</v>
      </c>
      <c r="H114" t="s">
        <v>159</v>
      </c>
      <c r="I114">
        <v>1</v>
      </c>
      <c r="J114" t="s">
        <v>160</v>
      </c>
      <c r="K114">
        <v>50</v>
      </c>
      <c r="L114" t="s">
        <v>161</v>
      </c>
      <c r="M114">
        <v>50</v>
      </c>
      <c r="N114" t="s">
        <v>162</v>
      </c>
    </row>
    <row r="115" spans="1:14" x14ac:dyDescent="0.25">
      <c r="A115" t="s">
        <v>165</v>
      </c>
      <c r="B115" s="1">
        <v>45667</v>
      </c>
      <c r="D115" t="s">
        <v>157</v>
      </c>
      <c r="E115" t="s">
        <v>203</v>
      </c>
      <c r="F115" t="s">
        <v>157</v>
      </c>
      <c r="G115" t="s">
        <v>158</v>
      </c>
      <c r="H115" t="s">
        <v>159</v>
      </c>
      <c r="I115">
        <v>24</v>
      </c>
      <c r="J115" t="s">
        <v>160</v>
      </c>
      <c r="K115">
        <v>24</v>
      </c>
      <c r="L115" t="s">
        <v>161</v>
      </c>
      <c r="M115">
        <v>576</v>
      </c>
      <c r="N115" t="s">
        <v>162</v>
      </c>
    </row>
    <row r="116" spans="1:14" x14ac:dyDescent="0.25">
      <c r="A116" t="s">
        <v>156</v>
      </c>
      <c r="B116" s="1">
        <v>45676</v>
      </c>
      <c r="D116" t="s">
        <v>157</v>
      </c>
      <c r="E116" t="s">
        <v>158</v>
      </c>
      <c r="F116" t="s">
        <v>157</v>
      </c>
      <c r="G116" t="s">
        <v>158</v>
      </c>
      <c r="H116" t="s">
        <v>159</v>
      </c>
      <c r="I116">
        <v>50</v>
      </c>
      <c r="J116" t="s">
        <v>160</v>
      </c>
      <c r="K116">
        <v>4</v>
      </c>
      <c r="L116" t="s">
        <v>161</v>
      </c>
      <c r="M116">
        <v>200</v>
      </c>
      <c r="N116" t="s">
        <v>162</v>
      </c>
    </row>
    <row r="117" spans="1:14" x14ac:dyDescent="0.25">
      <c r="A117" t="s">
        <v>164</v>
      </c>
      <c r="B117" s="1">
        <v>45666</v>
      </c>
      <c r="D117" t="s">
        <v>157</v>
      </c>
      <c r="E117" t="s">
        <v>158</v>
      </c>
      <c r="F117" t="s">
        <v>157</v>
      </c>
      <c r="G117" t="s">
        <v>158</v>
      </c>
      <c r="H117" t="s">
        <v>159</v>
      </c>
      <c r="I117">
        <v>50</v>
      </c>
      <c r="J117" t="s">
        <v>160</v>
      </c>
      <c r="K117">
        <v>21</v>
      </c>
      <c r="L117" t="s">
        <v>161</v>
      </c>
      <c r="M117">
        <v>1050</v>
      </c>
      <c r="N117" t="s">
        <v>162</v>
      </c>
    </row>
    <row r="118" spans="1:14" x14ac:dyDescent="0.25">
      <c r="A118" t="s">
        <v>163</v>
      </c>
      <c r="B118" s="1">
        <v>45666</v>
      </c>
      <c r="D118" t="s">
        <v>157</v>
      </c>
      <c r="E118" t="s">
        <v>158</v>
      </c>
      <c r="F118" t="s">
        <v>157</v>
      </c>
      <c r="G118" t="s">
        <v>158</v>
      </c>
      <c r="H118" t="s">
        <v>159</v>
      </c>
      <c r="I118">
        <v>50</v>
      </c>
      <c r="J118" t="s">
        <v>160</v>
      </c>
      <c r="K118">
        <v>20</v>
      </c>
      <c r="L118" t="s">
        <v>161</v>
      </c>
      <c r="M118">
        <v>1000</v>
      </c>
      <c r="N118" t="s">
        <v>162</v>
      </c>
    </row>
    <row r="119" spans="1:14" x14ac:dyDescent="0.25">
      <c r="A119" t="s">
        <v>167</v>
      </c>
      <c r="B119" s="1">
        <v>45666</v>
      </c>
      <c r="D119" t="s">
        <v>157</v>
      </c>
      <c r="E119" t="s">
        <v>158</v>
      </c>
      <c r="F119" t="s">
        <v>157</v>
      </c>
      <c r="G119" t="s">
        <v>158</v>
      </c>
      <c r="H119" t="s">
        <v>159</v>
      </c>
      <c r="I119">
        <v>50</v>
      </c>
      <c r="J119" t="s">
        <v>160</v>
      </c>
      <c r="K119">
        <v>22</v>
      </c>
      <c r="L119" t="s">
        <v>161</v>
      </c>
      <c r="M119">
        <v>1100</v>
      </c>
      <c r="N119" t="s">
        <v>162</v>
      </c>
    </row>
    <row r="120" spans="1:14" x14ac:dyDescent="0.25">
      <c r="A120" t="s">
        <v>172</v>
      </c>
      <c r="B120" s="1">
        <v>45667</v>
      </c>
      <c r="D120" t="s">
        <v>157</v>
      </c>
      <c r="E120" t="s">
        <v>158</v>
      </c>
      <c r="F120" t="s">
        <v>157</v>
      </c>
      <c r="G120" t="s">
        <v>158</v>
      </c>
      <c r="H120" t="s">
        <v>159</v>
      </c>
      <c r="I120">
        <v>50</v>
      </c>
      <c r="J120" t="s">
        <v>160</v>
      </c>
      <c r="K120">
        <v>8</v>
      </c>
      <c r="L120" t="s">
        <v>161</v>
      </c>
      <c r="M120">
        <v>400</v>
      </c>
      <c r="N120" t="s">
        <v>162</v>
      </c>
    </row>
    <row r="121" spans="1:14" x14ac:dyDescent="0.25">
      <c r="A121" t="s">
        <v>168</v>
      </c>
      <c r="B121" s="1">
        <v>45666</v>
      </c>
      <c r="D121" t="s">
        <v>157</v>
      </c>
      <c r="E121" t="s">
        <v>158</v>
      </c>
      <c r="F121" t="s">
        <v>157</v>
      </c>
      <c r="G121" t="s">
        <v>158</v>
      </c>
      <c r="H121" t="s">
        <v>159</v>
      </c>
      <c r="I121">
        <v>50</v>
      </c>
      <c r="J121" t="s">
        <v>160</v>
      </c>
      <c r="K121">
        <v>50</v>
      </c>
      <c r="L121" t="s">
        <v>161</v>
      </c>
      <c r="M121">
        <v>2500</v>
      </c>
      <c r="N121" t="s">
        <v>162</v>
      </c>
    </row>
    <row r="122" spans="1:14" x14ac:dyDescent="0.25">
      <c r="A122" t="s">
        <v>156</v>
      </c>
      <c r="B122" s="1">
        <v>45667</v>
      </c>
      <c r="D122" t="s">
        <v>157</v>
      </c>
      <c r="E122" t="s">
        <v>158</v>
      </c>
      <c r="F122" t="s">
        <v>157</v>
      </c>
      <c r="G122" t="s">
        <v>158</v>
      </c>
      <c r="H122" t="s">
        <v>159</v>
      </c>
      <c r="I122">
        <v>50</v>
      </c>
      <c r="J122" t="s">
        <v>160</v>
      </c>
      <c r="K122">
        <v>12</v>
      </c>
      <c r="L122" t="s">
        <v>161</v>
      </c>
      <c r="M122">
        <v>600</v>
      </c>
      <c r="N122" t="s">
        <v>162</v>
      </c>
    </row>
    <row r="123" spans="1:14" x14ac:dyDescent="0.25">
      <c r="A123" t="s">
        <v>156</v>
      </c>
      <c r="B123" s="1">
        <v>45666</v>
      </c>
      <c r="D123" t="s">
        <v>157</v>
      </c>
      <c r="E123" t="s">
        <v>158</v>
      </c>
      <c r="F123" t="s">
        <v>157</v>
      </c>
      <c r="G123" t="s">
        <v>158</v>
      </c>
      <c r="H123" t="s">
        <v>159</v>
      </c>
      <c r="I123">
        <v>50</v>
      </c>
      <c r="J123" t="s">
        <v>160</v>
      </c>
      <c r="K123">
        <v>50</v>
      </c>
      <c r="L123" t="s">
        <v>161</v>
      </c>
      <c r="M123">
        <v>2500</v>
      </c>
      <c r="N123" t="s">
        <v>162</v>
      </c>
    </row>
    <row r="124" spans="1:14" x14ac:dyDescent="0.25">
      <c r="A124" t="s">
        <v>164</v>
      </c>
      <c r="B124" s="1">
        <v>45665</v>
      </c>
      <c r="D124" t="s">
        <v>157</v>
      </c>
      <c r="E124" t="s">
        <v>173</v>
      </c>
      <c r="F124" t="s">
        <v>157</v>
      </c>
      <c r="G124" t="s">
        <v>158</v>
      </c>
      <c r="H124" t="s">
        <v>159</v>
      </c>
      <c r="I124">
        <v>100</v>
      </c>
      <c r="J124" t="s">
        <v>160</v>
      </c>
      <c r="K124">
        <v>21</v>
      </c>
      <c r="L124" t="s">
        <v>161</v>
      </c>
      <c r="M124">
        <v>2100</v>
      </c>
      <c r="N124" t="s">
        <v>162</v>
      </c>
    </row>
    <row r="125" spans="1:14" x14ac:dyDescent="0.25">
      <c r="A125" t="s">
        <v>156</v>
      </c>
      <c r="B125" s="1">
        <v>45673</v>
      </c>
      <c r="D125" t="s">
        <v>157</v>
      </c>
      <c r="E125" t="s">
        <v>173</v>
      </c>
      <c r="F125" t="s">
        <v>157</v>
      </c>
      <c r="G125" t="s">
        <v>158</v>
      </c>
      <c r="H125" t="s">
        <v>159</v>
      </c>
      <c r="I125">
        <v>100</v>
      </c>
      <c r="J125" t="s">
        <v>160</v>
      </c>
      <c r="K125">
        <v>5</v>
      </c>
      <c r="L125" t="s">
        <v>161</v>
      </c>
      <c r="M125">
        <v>500</v>
      </c>
      <c r="N125" t="s">
        <v>162</v>
      </c>
    </row>
    <row r="126" spans="1:14" x14ac:dyDescent="0.25">
      <c r="A126" t="s">
        <v>168</v>
      </c>
      <c r="B126" s="1">
        <v>45665</v>
      </c>
      <c r="D126" t="s">
        <v>157</v>
      </c>
      <c r="E126" t="s">
        <v>173</v>
      </c>
      <c r="F126" t="s">
        <v>157</v>
      </c>
      <c r="G126" t="s">
        <v>158</v>
      </c>
      <c r="H126" t="s">
        <v>159</v>
      </c>
      <c r="I126">
        <v>100</v>
      </c>
      <c r="J126" t="s">
        <v>160</v>
      </c>
      <c r="K126">
        <v>50</v>
      </c>
      <c r="L126" t="s">
        <v>161</v>
      </c>
      <c r="M126">
        <v>5000</v>
      </c>
      <c r="N126" t="s">
        <v>162</v>
      </c>
    </row>
    <row r="127" spans="1:14" x14ac:dyDescent="0.25">
      <c r="A127" t="s">
        <v>163</v>
      </c>
      <c r="B127" s="1">
        <v>45665</v>
      </c>
      <c r="D127" t="s">
        <v>157</v>
      </c>
      <c r="E127" t="s">
        <v>173</v>
      </c>
      <c r="F127" t="s">
        <v>157</v>
      </c>
      <c r="G127" t="s">
        <v>158</v>
      </c>
      <c r="H127" t="s">
        <v>159</v>
      </c>
      <c r="I127">
        <v>100</v>
      </c>
      <c r="J127" t="s">
        <v>160</v>
      </c>
      <c r="K127">
        <v>20</v>
      </c>
      <c r="L127" t="s">
        <v>161</v>
      </c>
      <c r="M127">
        <v>2000</v>
      </c>
      <c r="N127" t="s">
        <v>162</v>
      </c>
    </row>
    <row r="128" spans="1:14" x14ac:dyDescent="0.25">
      <c r="A128" t="s">
        <v>167</v>
      </c>
      <c r="B128" s="1">
        <v>45665</v>
      </c>
      <c r="D128" t="s">
        <v>157</v>
      </c>
      <c r="E128" t="s">
        <v>173</v>
      </c>
      <c r="F128" t="s">
        <v>157</v>
      </c>
      <c r="G128" t="s">
        <v>158</v>
      </c>
      <c r="H128" t="s">
        <v>159</v>
      </c>
      <c r="I128">
        <v>100</v>
      </c>
      <c r="J128" t="s">
        <v>160</v>
      </c>
      <c r="K128">
        <v>28</v>
      </c>
      <c r="L128" t="s">
        <v>161</v>
      </c>
      <c r="M128">
        <v>2800</v>
      </c>
      <c r="N128" t="s">
        <v>162</v>
      </c>
    </row>
    <row r="129" spans="1:14" x14ac:dyDescent="0.25">
      <c r="A129" t="s">
        <v>156</v>
      </c>
      <c r="B129" s="1">
        <v>45665</v>
      </c>
      <c r="D129" t="s">
        <v>157</v>
      </c>
      <c r="E129" t="s">
        <v>173</v>
      </c>
      <c r="F129" t="s">
        <v>157</v>
      </c>
      <c r="G129" t="s">
        <v>158</v>
      </c>
      <c r="H129" t="s">
        <v>159</v>
      </c>
      <c r="I129">
        <v>100</v>
      </c>
      <c r="J129" t="s">
        <v>160</v>
      </c>
      <c r="K129">
        <v>49</v>
      </c>
      <c r="L129" t="s">
        <v>161</v>
      </c>
      <c r="M129">
        <v>4900</v>
      </c>
      <c r="N129" t="s">
        <v>162</v>
      </c>
    </row>
    <row r="130" spans="1:14" x14ac:dyDescent="0.25">
      <c r="A130" t="s">
        <v>156</v>
      </c>
      <c r="B130" s="1">
        <v>45671</v>
      </c>
      <c r="D130" t="s">
        <v>157</v>
      </c>
      <c r="E130" t="s">
        <v>204</v>
      </c>
      <c r="F130" t="s">
        <v>157</v>
      </c>
      <c r="G130" t="s">
        <v>158</v>
      </c>
      <c r="H130" t="s">
        <v>159</v>
      </c>
      <c r="I130">
        <v>1</v>
      </c>
      <c r="J130" t="s">
        <v>160</v>
      </c>
      <c r="K130">
        <v>6</v>
      </c>
      <c r="L130" t="s">
        <v>161</v>
      </c>
      <c r="M130">
        <v>6</v>
      </c>
      <c r="N130" t="s">
        <v>162</v>
      </c>
    </row>
    <row r="131" spans="1:14" x14ac:dyDescent="0.25">
      <c r="A131" t="s">
        <v>164</v>
      </c>
      <c r="B131" s="1">
        <v>45663</v>
      </c>
      <c r="D131" t="s">
        <v>157</v>
      </c>
      <c r="E131" t="s">
        <v>204</v>
      </c>
      <c r="F131" t="s">
        <v>157</v>
      </c>
      <c r="G131" t="s">
        <v>158</v>
      </c>
      <c r="H131" t="s">
        <v>159</v>
      </c>
      <c r="I131">
        <v>1</v>
      </c>
      <c r="J131" t="s">
        <v>160</v>
      </c>
      <c r="K131">
        <v>23</v>
      </c>
      <c r="L131" t="s">
        <v>161</v>
      </c>
      <c r="M131">
        <v>23</v>
      </c>
      <c r="N131" t="s">
        <v>162</v>
      </c>
    </row>
    <row r="132" spans="1:14" x14ac:dyDescent="0.25">
      <c r="A132" t="s">
        <v>168</v>
      </c>
      <c r="B132" s="1">
        <v>45663</v>
      </c>
      <c r="D132" t="s">
        <v>157</v>
      </c>
      <c r="E132" t="s">
        <v>204</v>
      </c>
      <c r="F132" t="s">
        <v>157</v>
      </c>
      <c r="G132" t="s">
        <v>158</v>
      </c>
      <c r="H132" t="s">
        <v>159</v>
      </c>
      <c r="I132">
        <v>1</v>
      </c>
      <c r="J132" t="s">
        <v>160</v>
      </c>
      <c r="K132">
        <v>51</v>
      </c>
      <c r="L132" t="s">
        <v>161</v>
      </c>
      <c r="M132">
        <v>51</v>
      </c>
      <c r="N132" t="s">
        <v>162</v>
      </c>
    </row>
    <row r="133" spans="1:14" x14ac:dyDescent="0.25">
      <c r="A133" t="s">
        <v>167</v>
      </c>
      <c r="B133" s="1">
        <v>45663</v>
      </c>
      <c r="D133" t="s">
        <v>157</v>
      </c>
      <c r="E133" t="s">
        <v>204</v>
      </c>
      <c r="F133" t="s">
        <v>157</v>
      </c>
      <c r="G133" t="s">
        <v>158</v>
      </c>
      <c r="H133" t="s">
        <v>159</v>
      </c>
      <c r="I133">
        <v>1</v>
      </c>
      <c r="J133" t="s">
        <v>160</v>
      </c>
      <c r="K133">
        <v>27</v>
      </c>
      <c r="L133" t="s">
        <v>161</v>
      </c>
      <c r="M133">
        <v>27</v>
      </c>
      <c r="N133" t="s">
        <v>162</v>
      </c>
    </row>
    <row r="134" spans="1:14" x14ac:dyDescent="0.25">
      <c r="A134" t="s">
        <v>163</v>
      </c>
      <c r="B134" s="1">
        <v>45663</v>
      </c>
      <c r="D134" t="s">
        <v>157</v>
      </c>
      <c r="E134" t="s">
        <v>204</v>
      </c>
      <c r="F134" t="s">
        <v>157</v>
      </c>
      <c r="G134" t="s">
        <v>158</v>
      </c>
      <c r="H134" t="s">
        <v>159</v>
      </c>
      <c r="I134">
        <v>1</v>
      </c>
      <c r="J134" t="s">
        <v>160</v>
      </c>
      <c r="K134">
        <v>18</v>
      </c>
      <c r="L134" t="s">
        <v>161</v>
      </c>
      <c r="M134">
        <v>18</v>
      </c>
      <c r="N134" t="s">
        <v>162</v>
      </c>
    </row>
    <row r="135" spans="1:14" x14ac:dyDescent="0.25">
      <c r="A135" t="s">
        <v>156</v>
      </c>
      <c r="B135" s="1">
        <v>45663</v>
      </c>
      <c r="D135" t="s">
        <v>157</v>
      </c>
      <c r="E135" t="s">
        <v>204</v>
      </c>
      <c r="F135" t="s">
        <v>157</v>
      </c>
      <c r="G135" t="s">
        <v>158</v>
      </c>
      <c r="H135" t="s">
        <v>159</v>
      </c>
      <c r="I135">
        <v>1</v>
      </c>
      <c r="J135" t="s">
        <v>160</v>
      </c>
      <c r="K135">
        <v>50</v>
      </c>
      <c r="L135" t="s">
        <v>161</v>
      </c>
      <c r="M135">
        <v>49</v>
      </c>
      <c r="N135" t="s">
        <v>162</v>
      </c>
    </row>
    <row r="136" spans="1:14" x14ac:dyDescent="0.25">
      <c r="A136" t="s">
        <v>165</v>
      </c>
      <c r="B136" s="1">
        <v>45665</v>
      </c>
      <c r="D136" t="s">
        <v>157</v>
      </c>
      <c r="E136" t="s">
        <v>205</v>
      </c>
      <c r="F136" t="s">
        <v>157</v>
      </c>
      <c r="G136" t="s">
        <v>166</v>
      </c>
      <c r="H136" t="s">
        <v>159</v>
      </c>
      <c r="I136">
        <v>2</v>
      </c>
      <c r="J136" t="s">
        <v>160</v>
      </c>
      <c r="K136">
        <v>24</v>
      </c>
      <c r="L136" t="s">
        <v>161</v>
      </c>
      <c r="M136">
        <v>48</v>
      </c>
      <c r="N136" t="s">
        <v>162</v>
      </c>
    </row>
    <row r="137" spans="1:14" x14ac:dyDescent="0.25">
      <c r="A137" t="s">
        <v>165</v>
      </c>
      <c r="B137" s="1">
        <v>45667</v>
      </c>
      <c r="D137" t="s">
        <v>157</v>
      </c>
      <c r="E137" t="s">
        <v>205</v>
      </c>
      <c r="F137" t="s">
        <v>157</v>
      </c>
      <c r="G137" t="s">
        <v>166</v>
      </c>
      <c r="H137" t="s">
        <v>159</v>
      </c>
      <c r="I137">
        <v>2</v>
      </c>
      <c r="J137" t="s">
        <v>160</v>
      </c>
      <c r="K137">
        <v>24</v>
      </c>
      <c r="L137" t="s">
        <v>161</v>
      </c>
      <c r="M137">
        <v>48</v>
      </c>
      <c r="N137" t="s">
        <v>162</v>
      </c>
    </row>
    <row r="138" spans="1:14" x14ac:dyDescent="0.25">
      <c r="A138" t="s">
        <v>156</v>
      </c>
      <c r="B138" s="1">
        <v>45667</v>
      </c>
      <c r="D138" t="s">
        <v>157</v>
      </c>
      <c r="E138" t="s">
        <v>205</v>
      </c>
      <c r="F138" t="s">
        <v>157</v>
      </c>
      <c r="G138" t="s">
        <v>158</v>
      </c>
      <c r="H138" t="s">
        <v>159</v>
      </c>
      <c r="I138">
        <v>1</v>
      </c>
      <c r="J138" t="s">
        <v>160</v>
      </c>
      <c r="K138">
        <v>12</v>
      </c>
      <c r="L138" t="s">
        <v>161</v>
      </c>
      <c r="M138">
        <v>12</v>
      </c>
      <c r="N138" t="s">
        <v>162</v>
      </c>
    </row>
    <row r="139" spans="1:14" x14ac:dyDescent="0.25">
      <c r="A139" t="s">
        <v>156</v>
      </c>
      <c r="B139" s="1">
        <v>45666</v>
      </c>
      <c r="D139" t="s">
        <v>157</v>
      </c>
      <c r="E139" t="s">
        <v>205</v>
      </c>
      <c r="F139" t="s">
        <v>157</v>
      </c>
      <c r="G139" t="s">
        <v>158</v>
      </c>
      <c r="H139" t="s">
        <v>159</v>
      </c>
      <c r="I139">
        <v>1</v>
      </c>
      <c r="J139" t="s">
        <v>160</v>
      </c>
      <c r="K139">
        <v>50</v>
      </c>
      <c r="L139" t="s">
        <v>161</v>
      </c>
      <c r="M139">
        <v>50</v>
      </c>
      <c r="N139" t="s">
        <v>162</v>
      </c>
    </row>
    <row r="140" spans="1:14" x14ac:dyDescent="0.25">
      <c r="A140" t="s">
        <v>156</v>
      </c>
      <c r="B140" s="1">
        <v>45663</v>
      </c>
      <c r="D140" t="s">
        <v>157</v>
      </c>
      <c r="E140" t="s">
        <v>206</v>
      </c>
      <c r="F140" t="s">
        <v>157</v>
      </c>
      <c r="G140" t="s">
        <v>157</v>
      </c>
      <c r="H140" t="s">
        <v>159</v>
      </c>
      <c r="I140">
        <v>250</v>
      </c>
      <c r="J140" t="s">
        <v>160</v>
      </c>
      <c r="K140">
        <v>50</v>
      </c>
      <c r="L140" t="s">
        <v>161</v>
      </c>
      <c r="M140">
        <v>12500</v>
      </c>
      <c r="N140" t="s">
        <v>162</v>
      </c>
    </row>
    <row r="141" spans="1:14" x14ac:dyDescent="0.25">
      <c r="A141" t="s">
        <v>165</v>
      </c>
      <c r="B141" s="1">
        <v>45663</v>
      </c>
      <c r="D141" t="s">
        <v>157</v>
      </c>
      <c r="E141" t="s">
        <v>176</v>
      </c>
      <c r="F141" t="s">
        <v>157</v>
      </c>
      <c r="G141" t="s">
        <v>166</v>
      </c>
      <c r="H141" t="s">
        <v>159</v>
      </c>
      <c r="I141">
        <v>1</v>
      </c>
      <c r="J141" t="s">
        <v>160</v>
      </c>
      <c r="K141">
        <v>24</v>
      </c>
      <c r="L141" t="s">
        <v>161</v>
      </c>
      <c r="M141">
        <v>24</v>
      </c>
      <c r="N141" t="s">
        <v>162</v>
      </c>
    </row>
    <row r="142" spans="1:14" x14ac:dyDescent="0.25">
      <c r="A142" t="s">
        <v>156</v>
      </c>
      <c r="B142" s="1">
        <v>45665</v>
      </c>
      <c r="D142" t="s">
        <v>157</v>
      </c>
      <c r="E142" t="s">
        <v>176</v>
      </c>
      <c r="F142" t="s">
        <v>157</v>
      </c>
      <c r="G142" t="s">
        <v>158</v>
      </c>
      <c r="H142" t="s">
        <v>159</v>
      </c>
      <c r="I142">
        <v>1</v>
      </c>
      <c r="J142" t="s">
        <v>160</v>
      </c>
      <c r="K142">
        <v>50</v>
      </c>
      <c r="L142" t="s">
        <v>161</v>
      </c>
      <c r="M142">
        <v>50</v>
      </c>
      <c r="N142" t="s">
        <v>162</v>
      </c>
    </row>
    <row r="143" spans="1:14" x14ac:dyDescent="0.25">
      <c r="A143" t="s">
        <v>164</v>
      </c>
      <c r="B143" s="1">
        <v>45663</v>
      </c>
      <c r="D143" t="s">
        <v>157</v>
      </c>
      <c r="E143" t="s">
        <v>207</v>
      </c>
      <c r="F143" t="s">
        <v>157</v>
      </c>
      <c r="G143" t="s">
        <v>158</v>
      </c>
      <c r="H143" t="s">
        <v>159</v>
      </c>
      <c r="I143" s="4">
        <f>1/17</f>
        <v>0.058823529411764705</v>
      </c>
      <c r="J143" t="s">
        <v>160</v>
      </c>
      <c r="K143">
        <v>23</v>
      </c>
      <c r="L143" t="s">
        <v>161</v>
      </c>
      <c r="M143">
        <v>2</v>
      </c>
      <c r="N143" t="s">
        <v>162</v>
      </c>
    </row>
    <row r="144" spans="1:14" x14ac:dyDescent="0.25">
      <c r="A144" t="s">
        <v>168</v>
      </c>
      <c r="B144" s="1">
        <v>45663</v>
      </c>
      <c r="D144" t="s">
        <v>157</v>
      </c>
      <c r="E144" t="s">
        <v>207</v>
      </c>
      <c r="F144" t="s">
        <v>157</v>
      </c>
      <c r="G144" t="s">
        <v>158</v>
      </c>
      <c r="H144" t="s">
        <v>159</v>
      </c>
      <c r="I144" s="4">
        <f>1/17</f>
        <v>0.058823529411764705</v>
      </c>
      <c r="J144" t="s">
        <v>160</v>
      </c>
      <c r="K144">
        <v>51</v>
      </c>
      <c r="L144" t="s">
        <v>161</v>
      </c>
      <c r="M144">
        <v>3</v>
      </c>
      <c r="N144" t="s">
        <v>162</v>
      </c>
    </row>
    <row r="145" spans="1:14" x14ac:dyDescent="0.25">
      <c r="A145" t="s">
        <v>156</v>
      </c>
      <c r="B145" s="1">
        <v>45671</v>
      </c>
      <c r="D145" t="s">
        <v>157</v>
      </c>
      <c r="E145" t="s">
        <v>207</v>
      </c>
      <c r="F145" t="s">
        <v>157</v>
      </c>
      <c r="G145" t="s">
        <v>158</v>
      </c>
      <c r="H145" t="s">
        <v>159</v>
      </c>
      <c r="I145" s="4">
        <v>0.058823529411764705</v>
      </c>
      <c r="J145" t="s">
        <v>160</v>
      </c>
      <c r="K145">
        <v>6</v>
      </c>
      <c r="L145" t="s">
        <v>161</v>
      </c>
      <c r="M145">
        <v>1</v>
      </c>
      <c r="N145" t="s">
        <v>162</v>
      </c>
    </row>
    <row r="146" spans="1:14" x14ac:dyDescent="0.25">
      <c r="A146" t="s">
        <v>167</v>
      </c>
      <c r="B146" s="1">
        <v>45663</v>
      </c>
      <c r="D146" t="s">
        <v>157</v>
      </c>
      <c r="E146" t="s">
        <v>207</v>
      </c>
      <c r="F146" t="s">
        <v>157</v>
      </c>
      <c r="G146" t="s">
        <v>158</v>
      </c>
      <c r="H146" t="s">
        <v>159</v>
      </c>
      <c r="I146" s="4">
        <f>1/17</f>
        <v>0.058823529411764705</v>
      </c>
      <c r="J146" t="s">
        <v>160</v>
      </c>
      <c r="K146">
        <v>27</v>
      </c>
      <c r="L146" t="s">
        <v>161</v>
      </c>
      <c r="M146" s="2">
        <v>1.588235294117647</v>
      </c>
      <c r="N146" t="s">
        <v>162</v>
      </c>
    </row>
    <row r="147" spans="1:14" x14ac:dyDescent="0.25">
      <c r="A147" t="s">
        <v>163</v>
      </c>
      <c r="B147" s="1">
        <v>45663</v>
      </c>
      <c r="D147" t="s">
        <v>157</v>
      </c>
      <c r="E147" t="s">
        <v>207</v>
      </c>
      <c r="F147" t="s">
        <v>157</v>
      </c>
      <c r="G147" t="s">
        <v>158</v>
      </c>
      <c r="H147" t="s">
        <v>159</v>
      </c>
      <c r="I147" s="4">
        <f>1/17</f>
        <v>0.058823529411764705</v>
      </c>
      <c r="J147" t="s">
        <v>160</v>
      </c>
      <c r="K147">
        <v>18</v>
      </c>
      <c r="L147" t="s">
        <v>161</v>
      </c>
      <c r="M147">
        <v>1</v>
      </c>
      <c r="N147" t="s">
        <v>162</v>
      </c>
    </row>
    <row r="148" spans="1:14" x14ac:dyDescent="0.25">
      <c r="A148" t="s">
        <v>156</v>
      </c>
      <c r="B148" s="1">
        <v>45663</v>
      </c>
      <c r="D148" t="s">
        <v>157</v>
      </c>
      <c r="E148" t="s">
        <v>207</v>
      </c>
      <c r="F148" t="s">
        <v>157</v>
      </c>
      <c r="G148" t="s">
        <v>158</v>
      </c>
      <c r="H148" t="s">
        <v>159</v>
      </c>
      <c r="I148" s="4">
        <v>0.058823529411764705</v>
      </c>
      <c r="J148" t="s">
        <v>160</v>
      </c>
      <c r="K148">
        <v>50</v>
      </c>
      <c r="L148" t="s">
        <v>161</v>
      </c>
      <c r="M148" s="2">
        <v>2.941176470588235</v>
      </c>
      <c r="N148" t="s">
        <v>162</v>
      </c>
    </row>
    <row r="149" spans="1:14" x14ac:dyDescent="0.25">
      <c r="A149" t="s">
        <v>156</v>
      </c>
      <c r="B149" s="1">
        <v>45670</v>
      </c>
      <c r="D149" t="s">
        <v>157</v>
      </c>
      <c r="E149" t="s">
        <v>208</v>
      </c>
      <c r="F149" t="s">
        <v>157</v>
      </c>
      <c r="G149" t="s">
        <v>158</v>
      </c>
      <c r="H149" t="s">
        <v>159</v>
      </c>
      <c r="I149">
        <v>90</v>
      </c>
      <c r="J149" t="s">
        <v>160</v>
      </c>
      <c r="K149">
        <v>5</v>
      </c>
      <c r="L149" t="s">
        <v>161</v>
      </c>
      <c r="M149">
        <v>450</v>
      </c>
      <c r="N149" t="s">
        <v>162</v>
      </c>
    </row>
    <row r="150" spans="1:14" x14ac:dyDescent="0.25">
      <c r="A150" t="s">
        <v>164</v>
      </c>
      <c r="B150" s="1">
        <v>45662</v>
      </c>
      <c r="D150" t="s">
        <v>157</v>
      </c>
      <c r="E150" t="s">
        <v>208</v>
      </c>
      <c r="F150" t="s">
        <v>157</v>
      </c>
      <c r="G150" t="s">
        <v>158</v>
      </c>
      <c r="H150" t="s">
        <v>159</v>
      </c>
      <c r="I150">
        <v>90</v>
      </c>
      <c r="J150" t="s">
        <v>160</v>
      </c>
      <c r="K150">
        <v>20</v>
      </c>
      <c r="L150" t="s">
        <v>161</v>
      </c>
      <c r="M150">
        <v>1800</v>
      </c>
      <c r="N150" t="s">
        <v>162</v>
      </c>
    </row>
    <row r="151" spans="1:14" x14ac:dyDescent="0.25">
      <c r="A151" t="s">
        <v>163</v>
      </c>
      <c r="B151" s="1">
        <v>45662</v>
      </c>
      <c r="D151" t="s">
        <v>157</v>
      </c>
      <c r="E151" t="s">
        <v>208</v>
      </c>
      <c r="F151" t="s">
        <v>157</v>
      </c>
      <c r="G151" t="s">
        <v>158</v>
      </c>
      <c r="H151" t="s">
        <v>159</v>
      </c>
      <c r="I151">
        <v>100</v>
      </c>
      <c r="J151" t="s">
        <v>160</v>
      </c>
      <c r="K151">
        <v>19</v>
      </c>
      <c r="L151" t="s">
        <v>161</v>
      </c>
      <c r="M151">
        <v>1900</v>
      </c>
      <c r="N151" t="s">
        <v>162</v>
      </c>
    </row>
    <row r="152" spans="1:14" x14ac:dyDescent="0.25">
      <c r="A152" t="s">
        <v>168</v>
      </c>
      <c r="B152" s="1">
        <v>45662</v>
      </c>
      <c r="D152" t="s">
        <v>157</v>
      </c>
      <c r="E152" t="s">
        <v>208</v>
      </c>
      <c r="F152" t="s">
        <v>157</v>
      </c>
      <c r="G152" t="s">
        <v>158</v>
      </c>
      <c r="H152" t="s">
        <v>159</v>
      </c>
      <c r="I152">
        <v>100</v>
      </c>
      <c r="J152" t="s">
        <v>160</v>
      </c>
      <c r="K152">
        <v>30</v>
      </c>
      <c r="L152" t="s">
        <v>161</v>
      </c>
      <c r="M152">
        <v>3000</v>
      </c>
      <c r="N152" t="s">
        <v>162</v>
      </c>
    </row>
    <row r="153" spans="1:14" x14ac:dyDescent="0.25">
      <c r="A153" t="s">
        <v>167</v>
      </c>
      <c r="B153" s="1">
        <v>45662</v>
      </c>
      <c r="D153" t="s">
        <v>157</v>
      </c>
      <c r="E153" t="s">
        <v>208</v>
      </c>
      <c r="F153" t="s">
        <v>157</v>
      </c>
      <c r="G153" t="s">
        <v>158</v>
      </c>
      <c r="H153" t="s">
        <v>159</v>
      </c>
      <c r="I153">
        <v>90</v>
      </c>
      <c r="J153" t="s">
        <v>160</v>
      </c>
      <c r="K153">
        <v>25</v>
      </c>
      <c r="L153" t="s">
        <v>161</v>
      </c>
      <c r="M153">
        <v>2250</v>
      </c>
      <c r="N153" t="s">
        <v>162</v>
      </c>
    </row>
    <row r="154" spans="1:14" x14ac:dyDescent="0.25">
      <c r="A154" t="s">
        <v>156</v>
      </c>
      <c r="B154" s="1">
        <v>45676</v>
      </c>
      <c r="D154" t="s">
        <v>157</v>
      </c>
      <c r="E154" t="s">
        <v>208</v>
      </c>
      <c r="F154" t="s">
        <v>157</v>
      </c>
      <c r="G154" t="s">
        <v>158</v>
      </c>
      <c r="H154" t="s">
        <v>159</v>
      </c>
      <c r="I154">
        <v>90</v>
      </c>
      <c r="J154" t="s">
        <v>160</v>
      </c>
      <c r="K154">
        <v>4</v>
      </c>
      <c r="L154" t="s">
        <v>161</v>
      </c>
      <c r="M154">
        <v>360</v>
      </c>
      <c r="N154" t="s">
        <v>162</v>
      </c>
    </row>
    <row r="155" spans="1:14" x14ac:dyDescent="0.25">
      <c r="A155" t="s">
        <v>164</v>
      </c>
      <c r="B155" s="1">
        <v>45666</v>
      </c>
      <c r="D155" t="s">
        <v>157</v>
      </c>
      <c r="E155" t="s">
        <v>208</v>
      </c>
      <c r="F155" t="s">
        <v>157</v>
      </c>
      <c r="G155" t="s">
        <v>158</v>
      </c>
      <c r="H155" t="s">
        <v>159</v>
      </c>
      <c r="I155">
        <v>90</v>
      </c>
      <c r="J155" t="s">
        <v>160</v>
      </c>
      <c r="K155">
        <v>22</v>
      </c>
      <c r="L155" t="s">
        <v>161</v>
      </c>
      <c r="M155">
        <v>1980</v>
      </c>
      <c r="N155" t="s">
        <v>162</v>
      </c>
    </row>
    <row r="156" spans="1:14" x14ac:dyDescent="0.25">
      <c r="A156" t="s">
        <v>163</v>
      </c>
      <c r="B156" s="1">
        <v>45666</v>
      </c>
      <c r="D156" t="s">
        <v>157</v>
      </c>
      <c r="E156" t="s">
        <v>208</v>
      </c>
      <c r="F156" t="s">
        <v>157</v>
      </c>
      <c r="G156" t="s">
        <v>158</v>
      </c>
      <c r="H156" t="s">
        <v>159</v>
      </c>
      <c r="I156">
        <v>100</v>
      </c>
      <c r="J156" t="s">
        <v>160</v>
      </c>
      <c r="K156">
        <v>20</v>
      </c>
      <c r="L156" t="s">
        <v>161</v>
      </c>
      <c r="M156">
        <v>2000</v>
      </c>
      <c r="N156" t="s">
        <v>162</v>
      </c>
    </row>
    <row r="157" spans="1:14" x14ac:dyDescent="0.25">
      <c r="A157" t="s">
        <v>167</v>
      </c>
      <c r="B157" s="1">
        <v>45666</v>
      </c>
      <c r="D157" t="s">
        <v>157</v>
      </c>
      <c r="E157" t="s">
        <v>208</v>
      </c>
      <c r="F157" t="s">
        <v>157</v>
      </c>
      <c r="G157" t="s">
        <v>158</v>
      </c>
      <c r="H157" t="s">
        <v>159</v>
      </c>
      <c r="I157">
        <v>90</v>
      </c>
      <c r="J157" t="s">
        <v>160</v>
      </c>
      <c r="K157">
        <v>21</v>
      </c>
      <c r="L157" t="s">
        <v>161</v>
      </c>
      <c r="M157">
        <v>1890</v>
      </c>
      <c r="N157" t="s">
        <v>162</v>
      </c>
    </row>
    <row r="158" spans="1:14" x14ac:dyDescent="0.25">
      <c r="A158" t="s">
        <v>168</v>
      </c>
      <c r="B158" s="1">
        <v>45666</v>
      </c>
      <c r="D158" t="s">
        <v>157</v>
      </c>
      <c r="E158" t="s">
        <v>208</v>
      </c>
      <c r="F158" t="s">
        <v>157</v>
      </c>
      <c r="G158" t="s">
        <v>158</v>
      </c>
      <c r="H158" t="s">
        <v>159</v>
      </c>
      <c r="I158">
        <v>100</v>
      </c>
      <c r="J158" t="s">
        <v>160</v>
      </c>
      <c r="K158">
        <v>50</v>
      </c>
      <c r="L158" t="s">
        <v>161</v>
      </c>
      <c r="M158">
        <v>5000</v>
      </c>
      <c r="N158" t="s">
        <v>162</v>
      </c>
    </row>
    <row r="159" spans="1:14" x14ac:dyDescent="0.25">
      <c r="A159" t="s">
        <v>172</v>
      </c>
      <c r="B159" s="1">
        <v>45667</v>
      </c>
      <c r="D159" t="s">
        <v>157</v>
      </c>
      <c r="E159" t="s">
        <v>208</v>
      </c>
      <c r="F159" t="s">
        <v>157</v>
      </c>
      <c r="G159" t="s">
        <v>158</v>
      </c>
      <c r="H159" t="s">
        <v>159</v>
      </c>
      <c r="I159">
        <v>100</v>
      </c>
      <c r="J159" t="s">
        <v>160</v>
      </c>
      <c r="K159">
        <v>8</v>
      </c>
      <c r="L159" t="s">
        <v>161</v>
      </c>
      <c r="M159">
        <v>800</v>
      </c>
      <c r="N159" t="s">
        <v>162</v>
      </c>
    </row>
    <row r="160" spans="1:14" x14ac:dyDescent="0.25">
      <c r="A160" t="s">
        <v>156</v>
      </c>
      <c r="B160" s="1">
        <v>45667</v>
      </c>
      <c r="D160" t="s">
        <v>157</v>
      </c>
      <c r="E160" t="s">
        <v>208</v>
      </c>
      <c r="F160" t="s">
        <v>157</v>
      </c>
      <c r="G160" t="s">
        <v>158</v>
      </c>
      <c r="H160" t="s">
        <v>159</v>
      </c>
      <c r="I160">
        <v>100</v>
      </c>
      <c r="J160" t="s">
        <v>160</v>
      </c>
      <c r="K160">
        <v>12</v>
      </c>
      <c r="L160" t="s">
        <v>161</v>
      </c>
      <c r="M160">
        <v>1200</v>
      </c>
      <c r="N160" t="s">
        <v>162</v>
      </c>
    </row>
    <row r="161" spans="1:14" x14ac:dyDescent="0.25">
      <c r="A161" t="s">
        <v>156</v>
      </c>
      <c r="B161" s="1">
        <v>45662</v>
      </c>
      <c r="D161" t="s">
        <v>157</v>
      </c>
      <c r="E161" t="s">
        <v>208</v>
      </c>
      <c r="F161" t="s">
        <v>157</v>
      </c>
      <c r="G161" t="s">
        <v>158</v>
      </c>
      <c r="H161" t="s">
        <v>159</v>
      </c>
      <c r="I161">
        <v>90</v>
      </c>
      <c r="J161" t="s">
        <v>160</v>
      </c>
      <c r="K161">
        <v>50</v>
      </c>
      <c r="L161" t="s">
        <v>161</v>
      </c>
      <c r="M161">
        <v>4500</v>
      </c>
      <c r="N161" t="s">
        <v>162</v>
      </c>
    </row>
    <row r="162" spans="1:14" x14ac:dyDescent="0.25">
      <c r="A162" t="s">
        <v>156</v>
      </c>
      <c r="B162" s="1">
        <v>45666</v>
      </c>
      <c r="D162" t="s">
        <v>157</v>
      </c>
      <c r="E162" t="s">
        <v>208</v>
      </c>
      <c r="F162" t="s">
        <v>157</v>
      </c>
      <c r="G162" t="s">
        <v>158</v>
      </c>
      <c r="H162" t="s">
        <v>159</v>
      </c>
      <c r="I162">
        <v>90</v>
      </c>
      <c r="J162" t="s">
        <v>160</v>
      </c>
      <c r="K162">
        <v>50</v>
      </c>
      <c r="L162" t="s">
        <v>161</v>
      </c>
      <c r="M162">
        <v>4500</v>
      </c>
      <c r="N162" t="s">
        <v>162</v>
      </c>
    </row>
    <row r="163" spans="1:14" x14ac:dyDescent="0.25">
      <c r="A163" t="s">
        <v>156</v>
      </c>
      <c r="B163" s="1">
        <v>45665</v>
      </c>
      <c r="C163" t="s">
        <v>100</v>
      </c>
      <c r="D163" t="s">
        <v>157</v>
      </c>
      <c r="E163" t="s">
        <v>195</v>
      </c>
      <c r="F163" t="s">
        <v>157</v>
      </c>
      <c r="G163" t="s">
        <v>174</v>
      </c>
      <c r="H163" t="s">
        <v>159</v>
      </c>
      <c r="I163">
        <v>250</v>
      </c>
      <c r="J163" t="s">
        <v>160</v>
      </c>
      <c r="K163">
        <v>1</v>
      </c>
      <c r="L163" t="s">
        <v>161</v>
      </c>
      <c r="M163">
        <v>250</v>
      </c>
      <c r="N163" t="s">
        <v>162</v>
      </c>
    </row>
    <row r="164" spans="1:14" x14ac:dyDescent="0.25">
      <c r="A164" t="s">
        <v>156</v>
      </c>
      <c r="B164" s="1">
        <v>45665</v>
      </c>
      <c r="C164" t="s">
        <v>101</v>
      </c>
      <c r="D164" t="s">
        <v>157</v>
      </c>
      <c r="E164" t="s">
        <v>195</v>
      </c>
      <c r="F164" t="s">
        <v>157</v>
      </c>
      <c r="G164" t="s">
        <v>174</v>
      </c>
      <c r="H164" t="s">
        <v>159</v>
      </c>
      <c r="I164">
        <v>250</v>
      </c>
      <c r="J164" t="s">
        <v>160</v>
      </c>
      <c r="K164">
        <v>1</v>
      </c>
      <c r="L164" t="s">
        <v>161</v>
      </c>
      <c r="M164">
        <v>250</v>
      </c>
      <c r="N164" t="s">
        <v>162</v>
      </c>
    </row>
    <row r="165" spans="1:14" x14ac:dyDescent="0.25">
      <c r="A165" t="s">
        <v>164</v>
      </c>
      <c r="B165" s="1">
        <v>45665</v>
      </c>
      <c r="C165" t="s">
        <v>175</v>
      </c>
      <c r="D165" t="s">
        <v>157</v>
      </c>
      <c r="E165" t="s">
        <v>195</v>
      </c>
      <c r="F165" t="s">
        <v>157</v>
      </c>
      <c r="G165" t="s">
        <v>174</v>
      </c>
      <c r="H165" t="s">
        <v>159</v>
      </c>
      <c r="I165">
        <v>250</v>
      </c>
      <c r="J165" t="s">
        <v>160</v>
      </c>
      <c r="K165">
        <v>1</v>
      </c>
      <c r="L165" t="s">
        <v>161</v>
      </c>
      <c r="M165">
        <v>250</v>
      </c>
      <c r="N165" t="s">
        <v>162</v>
      </c>
    </row>
    <row r="166" spans="1:14" x14ac:dyDescent="0.25">
      <c r="A166" t="s">
        <v>167</v>
      </c>
      <c r="B166" s="1">
        <v>45665</v>
      </c>
      <c r="C166" t="s">
        <v>175</v>
      </c>
      <c r="D166" t="s">
        <v>157</v>
      </c>
      <c r="E166" t="s">
        <v>195</v>
      </c>
      <c r="F166" t="s">
        <v>157</v>
      </c>
      <c r="G166" t="s">
        <v>174</v>
      </c>
      <c r="H166" t="s">
        <v>159</v>
      </c>
      <c r="I166">
        <v>250</v>
      </c>
      <c r="J166" t="s">
        <v>160</v>
      </c>
      <c r="K166">
        <v>1</v>
      </c>
      <c r="L166" t="s">
        <v>161</v>
      </c>
      <c r="M166">
        <v>250</v>
      </c>
      <c r="N166" t="s">
        <v>162</v>
      </c>
    </row>
    <row r="167" spans="1:14" x14ac:dyDescent="0.25">
      <c r="A167" t="s">
        <v>165</v>
      </c>
      <c r="B167" s="1">
        <v>45662</v>
      </c>
      <c r="D167" t="s">
        <v>157</v>
      </c>
      <c r="E167" t="s">
        <v>173</v>
      </c>
      <c r="F167" t="s">
        <v>157</v>
      </c>
      <c r="G167" t="s">
        <v>158</v>
      </c>
      <c r="H167" t="s">
        <v>159</v>
      </c>
      <c r="I167">
        <v>24</v>
      </c>
      <c r="J167" t="s">
        <v>160</v>
      </c>
      <c r="K167">
        <v>24</v>
      </c>
      <c r="L167" t="s">
        <v>161</v>
      </c>
      <c r="M167">
        <v>576</v>
      </c>
      <c r="N167" t="s">
        <v>162</v>
      </c>
    </row>
    <row r="168" spans="1:14" x14ac:dyDescent="0.25">
      <c r="A168" t="s">
        <v>156</v>
      </c>
      <c r="B168" s="1">
        <v>45664</v>
      </c>
      <c r="C168" t="s">
        <v>29</v>
      </c>
      <c r="D168" t="s">
        <v>157</v>
      </c>
      <c r="E168" t="s">
        <v>209</v>
      </c>
      <c r="F168" t="s">
        <v>157</v>
      </c>
      <c r="G168" t="s">
        <v>174</v>
      </c>
      <c r="H168" t="s">
        <v>159</v>
      </c>
      <c r="I168">
        <v>140</v>
      </c>
      <c r="J168" t="s">
        <v>160</v>
      </c>
      <c r="K168">
        <v>1</v>
      </c>
      <c r="L168" t="s">
        <v>161</v>
      </c>
      <c r="M168">
        <v>140</v>
      </c>
      <c r="N168" t="s">
        <v>162</v>
      </c>
    </row>
    <row r="169" spans="1:14" x14ac:dyDescent="0.25">
      <c r="A169" t="s">
        <v>156</v>
      </c>
      <c r="B169" s="1">
        <v>45664</v>
      </c>
      <c r="C169" t="s">
        <v>31</v>
      </c>
      <c r="D169" t="s">
        <v>157</v>
      </c>
      <c r="E169" t="s">
        <v>209</v>
      </c>
      <c r="F169" t="s">
        <v>157</v>
      </c>
      <c r="G169" t="s">
        <v>174</v>
      </c>
      <c r="H169" t="s">
        <v>159</v>
      </c>
      <c r="I169">
        <v>140</v>
      </c>
      <c r="J169" t="s">
        <v>160</v>
      </c>
      <c r="K169">
        <v>1</v>
      </c>
      <c r="L169" t="s">
        <v>161</v>
      </c>
      <c r="M169">
        <v>140</v>
      </c>
      <c r="N169" t="s">
        <v>162</v>
      </c>
    </row>
    <row r="170" spans="1:14" x14ac:dyDescent="0.25">
      <c r="A170" t="s">
        <v>156</v>
      </c>
      <c r="B170" s="1">
        <v>45664</v>
      </c>
      <c r="C170" t="s">
        <v>114</v>
      </c>
      <c r="D170" t="s">
        <v>157</v>
      </c>
      <c r="E170" t="s">
        <v>209</v>
      </c>
      <c r="F170" t="s">
        <v>157</v>
      </c>
      <c r="G170" t="s">
        <v>174</v>
      </c>
      <c r="H170" t="s">
        <v>159</v>
      </c>
      <c r="I170">
        <v>140</v>
      </c>
      <c r="J170" t="s">
        <v>160</v>
      </c>
      <c r="K170">
        <v>1</v>
      </c>
      <c r="L170" t="s">
        <v>161</v>
      </c>
      <c r="M170">
        <v>140</v>
      </c>
      <c r="N170" t="s">
        <v>162</v>
      </c>
    </row>
    <row r="171" spans="1:14" x14ac:dyDescent="0.25">
      <c r="A171" t="s">
        <v>156</v>
      </c>
      <c r="B171" s="1">
        <v>45664</v>
      </c>
      <c r="C171" t="s">
        <v>32</v>
      </c>
      <c r="D171" t="s">
        <v>157</v>
      </c>
      <c r="E171" t="s">
        <v>209</v>
      </c>
      <c r="F171" t="s">
        <v>157</v>
      </c>
      <c r="G171" t="s">
        <v>174</v>
      </c>
      <c r="H171" t="s">
        <v>159</v>
      </c>
      <c r="I171">
        <v>140</v>
      </c>
      <c r="J171" t="s">
        <v>160</v>
      </c>
      <c r="K171">
        <v>1</v>
      </c>
      <c r="L171" t="s">
        <v>161</v>
      </c>
      <c r="M171">
        <v>140</v>
      </c>
      <c r="N171" t="s">
        <v>162</v>
      </c>
    </row>
    <row r="172" spans="1:14" x14ac:dyDescent="0.25">
      <c r="A172" t="s">
        <v>156</v>
      </c>
      <c r="B172" s="1">
        <v>45664</v>
      </c>
      <c r="C172" t="s">
        <v>29</v>
      </c>
      <c r="D172" t="s">
        <v>157</v>
      </c>
      <c r="E172" t="s">
        <v>209</v>
      </c>
      <c r="F172" t="s">
        <v>157</v>
      </c>
      <c r="G172" t="s">
        <v>174</v>
      </c>
      <c r="H172" t="s">
        <v>159</v>
      </c>
      <c r="I172">
        <v>140</v>
      </c>
      <c r="J172" t="s">
        <v>160</v>
      </c>
      <c r="K172">
        <v>1</v>
      </c>
      <c r="L172" t="s">
        <v>161</v>
      </c>
      <c r="M172">
        <v>140</v>
      </c>
      <c r="N172" t="s">
        <v>162</v>
      </c>
    </row>
    <row r="173" spans="1:14" x14ac:dyDescent="0.25">
      <c r="A173" t="s">
        <v>156</v>
      </c>
      <c r="B173" s="1">
        <v>45664</v>
      </c>
      <c r="C173" t="s">
        <v>114</v>
      </c>
      <c r="D173" t="s">
        <v>157</v>
      </c>
      <c r="E173" t="s">
        <v>209</v>
      </c>
      <c r="F173" t="s">
        <v>157</v>
      </c>
      <c r="G173" t="s">
        <v>174</v>
      </c>
      <c r="H173" t="s">
        <v>159</v>
      </c>
      <c r="I173">
        <v>140</v>
      </c>
      <c r="J173" t="s">
        <v>160</v>
      </c>
      <c r="K173">
        <v>1</v>
      </c>
      <c r="L173" t="s">
        <v>161</v>
      </c>
      <c r="M173">
        <v>140</v>
      </c>
      <c r="N173" t="s">
        <v>162</v>
      </c>
    </row>
    <row r="174" spans="1:14" x14ac:dyDescent="0.25">
      <c r="A174" t="s">
        <v>156</v>
      </c>
      <c r="B174" s="1">
        <v>45664</v>
      </c>
      <c r="C174" t="s">
        <v>29</v>
      </c>
      <c r="D174" t="s">
        <v>157</v>
      </c>
      <c r="E174" t="s">
        <v>209</v>
      </c>
      <c r="F174" t="s">
        <v>157</v>
      </c>
      <c r="G174" t="s">
        <v>174</v>
      </c>
      <c r="H174" t="s">
        <v>159</v>
      </c>
      <c r="I174">
        <v>140</v>
      </c>
      <c r="J174" t="s">
        <v>160</v>
      </c>
      <c r="K174">
        <v>1</v>
      </c>
      <c r="L174" t="s">
        <v>161</v>
      </c>
      <c r="M174">
        <v>140</v>
      </c>
      <c r="N174" t="s">
        <v>162</v>
      </c>
    </row>
    <row r="175" spans="1:14" x14ac:dyDescent="0.25">
      <c r="A175" t="s">
        <v>156</v>
      </c>
      <c r="B175" s="1">
        <v>45664</v>
      </c>
      <c r="C175" t="s">
        <v>29</v>
      </c>
      <c r="D175" t="s">
        <v>157</v>
      </c>
      <c r="E175" t="s">
        <v>209</v>
      </c>
      <c r="F175" t="s">
        <v>157</v>
      </c>
      <c r="G175" t="s">
        <v>174</v>
      </c>
      <c r="H175" t="s">
        <v>159</v>
      </c>
      <c r="I175">
        <v>140</v>
      </c>
      <c r="J175" t="s">
        <v>160</v>
      </c>
      <c r="K175">
        <v>1</v>
      </c>
      <c r="L175" t="s">
        <v>161</v>
      </c>
      <c r="M175">
        <v>140</v>
      </c>
      <c r="N175" t="s">
        <v>162</v>
      </c>
    </row>
    <row r="176" spans="1:14" x14ac:dyDescent="0.25">
      <c r="A176" t="s">
        <v>156</v>
      </c>
      <c r="B176" s="1">
        <v>45662</v>
      </c>
      <c r="C176" t="s">
        <v>29</v>
      </c>
      <c r="D176" t="s">
        <v>157</v>
      </c>
      <c r="E176" t="s">
        <v>195</v>
      </c>
      <c r="F176" t="s">
        <v>157</v>
      </c>
      <c r="G176" t="s">
        <v>210</v>
      </c>
      <c r="H176" t="s">
        <v>159</v>
      </c>
      <c r="I176">
        <v>250</v>
      </c>
      <c r="J176" t="s">
        <v>160</v>
      </c>
      <c r="K176">
        <v>1</v>
      </c>
      <c r="L176" t="s">
        <v>161</v>
      </c>
      <c r="M176">
        <v>250</v>
      </c>
      <c r="N176" t="s">
        <v>162</v>
      </c>
    </row>
    <row r="177" spans="1:14" x14ac:dyDescent="0.25">
      <c r="A177" t="s">
        <v>156</v>
      </c>
      <c r="B177" s="1">
        <v>45665</v>
      </c>
      <c r="C177" t="s">
        <v>29</v>
      </c>
      <c r="D177" t="s">
        <v>157</v>
      </c>
      <c r="E177" t="s">
        <v>195</v>
      </c>
      <c r="F177" t="s">
        <v>157</v>
      </c>
      <c r="G177" t="s">
        <v>210</v>
      </c>
      <c r="H177" t="s">
        <v>159</v>
      </c>
      <c r="I177">
        <v>250</v>
      </c>
      <c r="J177" t="s">
        <v>160</v>
      </c>
      <c r="K177">
        <v>1</v>
      </c>
      <c r="L177" t="s">
        <v>161</v>
      </c>
      <c r="M177">
        <v>250</v>
      </c>
      <c r="N177" t="s">
        <v>162</v>
      </c>
    </row>
    <row r="178" spans="1:14" x14ac:dyDescent="0.25">
      <c r="A178" t="s">
        <v>156</v>
      </c>
      <c r="B178" s="1">
        <v>45666</v>
      </c>
      <c r="C178" t="s">
        <v>64</v>
      </c>
      <c r="D178" t="s">
        <v>157</v>
      </c>
      <c r="E178" t="s">
        <v>195</v>
      </c>
      <c r="F178" t="s">
        <v>157</v>
      </c>
      <c r="G178" t="s">
        <v>210</v>
      </c>
      <c r="H178" t="s">
        <v>159</v>
      </c>
      <c r="I178">
        <v>250</v>
      </c>
      <c r="J178" t="s">
        <v>160</v>
      </c>
      <c r="K178">
        <v>1</v>
      </c>
      <c r="L178" t="s">
        <v>161</v>
      </c>
      <c r="M178">
        <v>250</v>
      </c>
      <c r="N178" t="s">
        <v>162</v>
      </c>
    </row>
    <row r="179" spans="1:14" x14ac:dyDescent="0.25">
      <c r="A179" t="s">
        <v>156</v>
      </c>
      <c r="B179" s="1">
        <v>45666</v>
      </c>
      <c r="C179" t="s">
        <v>31</v>
      </c>
      <c r="D179" t="s">
        <v>157</v>
      </c>
      <c r="E179" t="s">
        <v>195</v>
      </c>
      <c r="F179" t="s">
        <v>157</v>
      </c>
      <c r="G179" t="s">
        <v>210</v>
      </c>
      <c r="H179" t="s">
        <v>159</v>
      </c>
      <c r="I179">
        <v>250</v>
      </c>
      <c r="J179" t="s">
        <v>160</v>
      </c>
      <c r="K179">
        <v>1</v>
      </c>
      <c r="L179" t="s">
        <v>161</v>
      </c>
      <c r="M179">
        <v>250</v>
      </c>
      <c r="N179" t="s">
        <v>162</v>
      </c>
    </row>
    <row r="180" spans="1:14" x14ac:dyDescent="0.25">
      <c r="A180" t="s">
        <v>156</v>
      </c>
      <c r="B180" s="1">
        <v>45662</v>
      </c>
      <c r="C180" t="s">
        <v>31</v>
      </c>
      <c r="D180" t="s">
        <v>157</v>
      </c>
      <c r="E180" t="s">
        <v>195</v>
      </c>
      <c r="F180" t="s">
        <v>157</v>
      </c>
      <c r="G180" t="s">
        <v>210</v>
      </c>
      <c r="H180" t="s">
        <v>159</v>
      </c>
      <c r="I180">
        <v>250</v>
      </c>
      <c r="J180" t="s">
        <v>160</v>
      </c>
      <c r="K180">
        <v>1</v>
      </c>
      <c r="L180" t="s">
        <v>161</v>
      </c>
      <c r="M180">
        <v>250</v>
      </c>
      <c r="N180" t="s">
        <v>162</v>
      </c>
    </row>
    <row r="181" spans="1:14" x14ac:dyDescent="0.25">
      <c r="A181" t="s">
        <v>156</v>
      </c>
      <c r="B181" s="1">
        <v>45665</v>
      </c>
      <c r="C181" t="s">
        <v>31</v>
      </c>
      <c r="D181" t="s">
        <v>157</v>
      </c>
      <c r="E181" t="s">
        <v>195</v>
      </c>
      <c r="F181" t="s">
        <v>157</v>
      </c>
      <c r="G181" t="s">
        <v>210</v>
      </c>
      <c r="H181" t="s">
        <v>159</v>
      </c>
      <c r="I181">
        <v>250</v>
      </c>
      <c r="J181" t="s">
        <v>160</v>
      </c>
      <c r="K181">
        <v>1</v>
      </c>
      <c r="L181" t="s">
        <v>161</v>
      </c>
      <c r="M181">
        <v>250</v>
      </c>
      <c r="N181" t="s">
        <v>162</v>
      </c>
    </row>
    <row r="182" spans="1:14" x14ac:dyDescent="0.25">
      <c r="A182" t="s">
        <v>156</v>
      </c>
      <c r="B182" s="1">
        <v>45665</v>
      </c>
      <c r="C182" t="s">
        <v>103</v>
      </c>
      <c r="D182" t="s">
        <v>157</v>
      </c>
      <c r="E182" t="s">
        <v>195</v>
      </c>
      <c r="F182" t="s">
        <v>157</v>
      </c>
      <c r="G182" t="s">
        <v>210</v>
      </c>
      <c r="H182" t="s">
        <v>159</v>
      </c>
      <c r="I182">
        <v>250</v>
      </c>
      <c r="J182" t="s">
        <v>160</v>
      </c>
      <c r="K182">
        <v>1</v>
      </c>
      <c r="L182" t="s">
        <v>161</v>
      </c>
      <c r="M182">
        <v>250</v>
      </c>
      <c r="N182" t="s">
        <v>162</v>
      </c>
    </row>
    <row r="183" spans="1:14" x14ac:dyDescent="0.25">
      <c r="A183" t="s">
        <v>156</v>
      </c>
      <c r="B183" s="1">
        <v>45666</v>
      </c>
      <c r="C183" t="s">
        <v>211</v>
      </c>
      <c r="D183" t="s">
        <v>157</v>
      </c>
      <c r="E183" t="s">
        <v>195</v>
      </c>
      <c r="F183" t="s">
        <v>157</v>
      </c>
      <c r="G183" t="s">
        <v>210</v>
      </c>
      <c r="H183" t="s">
        <v>159</v>
      </c>
      <c r="I183">
        <v>250</v>
      </c>
      <c r="J183" t="s">
        <v>160</v>
      </c>
      <c r="K183">
        <v>1</v>
      </c>
      <c r="L183" t="s">
        <v>161</v>
      </c>
      <c r="M183">
        <v>250</v>
      </c>
      <c r="N183" t="s">
        <v>162</v>
      </c>
    </row>
    <row r="184" spans="1:14" x14ac:dyDescent="0.25">
      <c r="A184" t="s">
        <v>156</v>
      </c>
      <c r="B184" s="1">
        <v>45662</v>
      </c>
      <c r="C184" t="s">
        <v>103</v>
      </c>
      <c r="D184" t="s">
        <v>157</v>
      </c>
      <c r="E184" t="s">
        <v>195</v>
      </c>
      <c r="F184" t="s">
        <v>157</v>
      </c>
      <c r="G184" t="s">
        <v>210</v>
      </c>
      <c r="H184" t="s">
        <v>159</v>
      </c>
      <c r="I184">
        <v>250</v>
      </c>
      <c r="J184" t="s">
        <v>160</v>
      </c>
      <c r="K184">
        <v>1</v>
      </c>
      <c r="L184" t="s">
        <v>161</v>
      </c>
      <c r="M184">
        <v>250</v>
      </c>
      <c r="N184" t="s">
        <v>162</v>
      </c>
    </row>
    <row r="185" spans="1:14" x14ac:dyDescent="0.25">
      <c r="A185" t="s">
        <v>156</v>
      </c>
      <c r="B185" s="1">
        <v>45665</v>
      </c>
      <c r="C185" t="s">
        <v>32</v>
      </c>
      <c r="D185" t="s">
        <v>157</v>
      </c>
      <c r="E185" t="s">
        <v>195</v>
      </c>
      <c r="F185" t="s">
        <v>157</v>
      </c>
      <c r="G185" t="s">
        <v>210</v>
      </c>
      <c r="H185" t="s">
        <v>159</v>
      </c>
      <c r="I185">
        <v>250</v>
      </c>
      <c r="J185" t="s">
        <v>160</v>
      </c>
      <c r="K185">
        <v>1</v>
      </c>
      <c r="L185" t="s">
        <v>161</v>
      </c>
      <c r="M185">
        <v>250</v>
      </c>
      <c r="N185" t="s">
        <v>162</v>
      </c>
    </row>
    <row r="186" spans="1:14" x14ac:dyDescent="0.25">
      <c r="A186" t="s">
        <v>156</v>
      </c>
      <c r="B186" s="1">
        <v>45664</v>
      </c>
      <c r="C186" t="s">
        <v>212</v>
      </c>
      <c r="D186" t="s">
        <v>157</v>
      </c>
      <c r="E186" t="s">
        <v>195</v>
      </c>
      <c r="F186" t="s">
        <v>157</v>
      </c>
      <c r="G186" t="s">
        <v>210</v>
      </c>
      <c r="H186" t="s">
        <v>159</v>
      </c>
      <c r="I186">
        <v>250</v>
      </c>
      <c r="J186" t="s">
        <v>160</v>
      </c>
      <c r="K186">
        <v>1</v>
      </c>
      <c r="L186" t="s">
        <v>161</v>
      </c>
      <c r="M186">
        <v>250</v>
      </c>
      <c r="N186" t="s">
        <v>162</v>
      </c>
    </row>
    <row r="187" spans="1:14" x14ac:dyDescent="0.25">
      <c r="A187" t="s">
        <v>156</v>
      </c>
      <c r="B187" s="1">
        <v>45662</v>
      </c>
      <c r="C187" t="s">
        <v>213</v>
      </c>
      <c r="D187" t="s">
        <v>157</v>
      </c>
      <c r="E187" t="s">
        <v>195</v>
      </c>
      <c r="F187" t="s">
        <v>157</v>
      </c>
      <c r="G187" t="s">
        <v>210</v>
      </c>
      <c r="H187" t="s">
        <v>159</v>
      </c>
      <c r="I187">
        <v>250</v>
      </c>
      <c r="J187" t="s">
        <v>160</v>
      </c>
      <c r="K187">
        <v>1</v>
      </c>
      <c r="L187" t="s">
        <v>161</v>
      </c>
      <c r="M187">
        <v>250</v>
      </c>
      <c r="N187" t="s">
        <v>162</v>
      </c>
    </row>
    <row r="188" spans="1:14" x14ac:dyDescent="0.25">
      <c r="A188" t="s">
        <v>156</v>
      </c>
      <c r="B188" s="1">
        <v>45666</v>
      </c>
      <c r="C188" t="s">
        <v>33</v>
      </c>
      <c r="D188" t="s">
        <v>157</v>
      </c>
      <c r="E188" t="s">
        <v>195</v>
      </c>
      <c r="F188" t="s">
        <v>157</v>
      </c>
      <c r="G188" t="s">
        <v>210</v>
      </c>
      <c r="H188" t="s">
        <v>159</v>
      </c>
      <c r="I188">
        <v>250</v>
      </c>
      <c r="J188" t="s">
        <v>160</v>
      </c>
      <c r="K188">
        <v>1</v>
      </c>
      <c r="L188" t="s">
        <v>161</v>
      </c>
      <c r="M188">
        <v>250</v>
      </c>
      <c r="N188" t="s">
        <v>162</v>
      </c>
    </row>
    <row r="189" spans="1:14" x14ac:dyDescent="0.25">
      <c r="A189" t="s">
        <v>156</v>
      </c>
      <c r="B189" s="1">
        <v>45665</v>
      </c>
      <c r="C189" t="s">
        <v>29</v>
      </c>
      <c r="D189" t="s">
        <v>157</v>
      </c>
      <c r="E189" t="s">
        <v>195</v>
      </c>
      <c r="F189" t="s">
        <v>157</v>
      </c>
      <c r="G189" t="s">
        <v>210</v>
      </c>
      <c r="H189" t="s">
        <v>159</v>
      </c>
      <c r="I189">
        <v>250</v>
      </c>
      <c r="J189" t="s">
        <v>160</v>
      </c>
      <c r="K189">
        <v>1</v>
      </c>
      <c r="L189" t="s">
        <v>161</v>
      </c>
      <c r="M189">
        <v>250</v>
      </c>
      <c r="N189" t="s">
        <v>162</v>
      </c>
    </row>
    <row r="190" spans="1:14" x14ac:dyDescent="0.25">
      <c r="A190" t="s">
        <v>156</v>
      </c>
      <c r="B190" s="1">
        <v>45666</v>
      </c>
      <c r="C190" t="s">
        <v>69</v>
      </c>
      <c r="D190" t="s">
        <v>157</v>
      </c>
      <c r="E190" t="s">
        <v>195</v>
      </c>
      <c r="F190" t="s">
        <v>157</v>
      </c>
      <c r="G190" t="s">
        <v>210</v>
      </c>
      <c r="H190" t="s">
        <v>159</v>
      </c>
      <c r="I190">
        <v>250</v>
      </c>
      <c r="J190" t="s">
        <v>160</v>
      </c>
      <c r="K190">
        <v>1</v>
      </c>
      <c r="L190" t="s">
        <v>161</v>
      </c>
      <c r="M190">
        <v>250</v>
      </c>
      <c r="N190" t="s">
        <v>162</v>
      </c>
    </row>
    <row r="191" spans="1:14" x14ac:dyDescent="0.25">
      <c r="A191" t="s">
        <v>156</v>
      </c>
      <c r="B191" s="1">
        <v>45662</v>
      </c>
      <c r="C191" t="s">
        <v>29</v>
      </c>
      <c r="D191" t="s">
        <v>157</v>
      </c>
      <c r="E191" t="s">
        <v>195</v>
      </c>
      <c r="F191" t="s">
        <v>157</v>
      </c>
      <c r="G191" t="s">
        <v>210</v>
      </c>
      <c r="H191" t="s">
        <v>159</v>
      </c>
      <c r="I191">
        <v>250</v>
      </c>
      <c r="J191" t="s">
        <v>160</v>
      </c>
      <c r="K191">
        <v>1</v>
      </c>
      <c r="L191" t="s">
        <v>161</v>
      </c>
      <c r="M191">
        <v>250</v>
      </c>
      <c r="N191" t="s">
        <v>162</v>
      </c>
    </row>
    <row r="192" spans="1:14" x14ac:dyDescent="0.25">
      <c r="A192" t="s">
        <v>156</v>
      </c>
      <c r="B192" s="1">
        <v>45662</v>
      </c>
      <c r="C192" t="s">
        <v>114</v>
      </c>
      <c r="D192" t="s">
        <v>157</v>
      </c>
      <c r="E192" t="s">
        <v>195</v>
      </c>
      <c r="F192" t="s">
        <v>157</v>
      </c>
      <c r="G192" t="s">
        <v>210</v>
      </c>
      <c r="H192" t="s">
        <v>159</v>
      </c>
      <c r="I192">
        <v>250</v>
      </c>
      <c r="J192" t="s">
        <v>160</v>
      </c>
      <c r="K192">
        <v>1</v>
      </c>
      <c r="L192" t="s">
        <v>161</v>
      </c>
      <c r="M192">
        <v>250</v>
      </c>
      <c r="N192" t="s">
        <v>162</v>
      </c>
    </row>
    <row r="193" spans="1:14" x14ac:dyDescent="0.25">
      <c r="A193" t="s">
        <v>156</v>
      </c>
      <c r="B193" s="1">
        <v>45666</v>
      </c>
      <c r="C193" t="s">
        <v>29</v>
      </c>
      <c r="D193" t="s">
        <v>157</v>
      </c>
      <c r="E193" t="s">
        <v>195</v>
      </c>
      <c r="F193" t="s">
        <v>157</v>
      </c>
      <c r="G193" t="s">
        <v>210</v>
      </c>
      <c r="H193" t="s">
        <v>159</v>
      </c>
      <c r="I193">
        <v>250</v>
      </c>
      <c r="J193" t="s">
        <v>160</v>
      </c>
      <c r="K193">
        <v>1</v>
      </c>
      <c r="L193" t="s">
        <v>161</v>
      </c>
      <c r="M193">
        <v>250</v>
      </c>
      <c r="N193" t="s">
        <v>162</v>
      </c>
    </row>
    <row r="194" spans="1:14" x14ac:dyDescent="0.25">
      <c r="A194" t="s">
        <v>156</v>
      </c>
      <c r="B194" s="1">
        <v>45665</v>
      </c>
      <c r="C194" t="s">
        <v>29</v>
      </c>
      <c r="D194" t="s">
        <v>157</v>
      </c>
      <c r="E194" t="s">
        <v>195</v>
      </c>
      <c r="F194" t="s">
        <v>157</v>
      </c>
      <c r="G194" t="s">
        <v>210</v>
      </c>
      <c r="H194" t="s">
        <v>159</v>
      </c>
      <c r="I194">
        <v>250</v>
      </c>
      <c r="J194" t="s">
        <v>160</v>
      </c>
      <c r="K194">
        <v>1</v>
      </c>
      <c r="L194" t="s">
        <v>161</v>
      </c>
      <c r="M194">
        <v>250</v>
      </c>
      <c r="N194" t="s">
        <v>162</v>
      </c>
    </row>
    <row r="195" spans="1:14" x14ac:dyDescent="0.25">
      <c r="A195" t="s">
        <v>156</v>
      </c>
      <c r="B195" s="1">
        <v>45666</v>
      </c>
      <c r="C195" t="s">
        <v>29</v>
      </c>
      <c r="D195" t="s">
        <v>157</v>
      </c>
      <c r="E195" t="s">
        <v>195</v>
      </c>
      <c r="F195" t="s">
        <v>157</v>
      </c>
      <c r="G195" t="s">
        <v>210</v>
      </c>
      <c r="H195" t="s">
        <v>159</v>
      </c>
      <c r="I195">
        <v>250</v>
      </c>
      <c r="J195" t="s">
        <v>160</v>
      </c>
      <c r="K195">
        <v>1</v>
      </c>
      <c r="L195" t="s">
        <v>161</v>
      </c>
      <c r="M195">
        <v>250</v>
      </c>
      <c r="N195" t="s">
        <v>162</v>
      </c>
    </row>
    <row r="196" spans="1:14" x14ac:dyDescent="0.25">
      <c r="A196" t="s">
        <v>156</v>
      </c>
      <c r="B196" s="1">
        <v>45662</v>
      </c>
      <c r="C196" t="s">
        <v>29</v>
      </c>
      <c r="D196" t="s">
        <v>157</v>
      </c>
      <c r="E196" t="s">
        <v>195</v>
      </c>
      <c r="F196" t="s">
        <v>157</v>
      </c>
      <c r="G196" t="s">
        <v>210</v>
      </c>
      <c r="H196" t="s">
        <v>159</v>
      </c>
      <c r="I196">
        <v>250</v>
      </c>
      <c r="J196" t="s">
        <v>160</v>
      </c>
      <c r="K196">
        <v>1</v>
      </c>
      <c r="L196" t="s">
        <v>161</v>
      </c>
      <c r="M196">
        <v>250</v>
      </c>
      <c r="N196" t="s">
        <v>162</v>
      </c>
    </row>
    <row r="197" spans="1:14" x14ac:dyDescent="0.25">
      <c r="A197" t="s">
        <v>156</v>
      </c>
      <c r="B197" s="1">
        <v>45665</v>
      </c>
      <c r="C197" t="s">
        <v>29</v>
      </c>
      <c r="D197" t="s">
        <v>157</v>
      </c>
      <c r="E197" t="s">
        <v>195</v>
      </c>
      <c r="F197" t="s">
        <v>157</v>
      </c>
      <c r="G197" t="s">
        <v>210</v>
      </c>
      <c r="H197" t="s">
        <v>159</v>
      </c>
      <c r="I197">
        <v>250</v>
      </c>
      <c r="J197" t="s">
        <v>160</v>
      </c>
      <c r="K197">
        <v>1</v>
      </c>
      <c r="L197" t="s">
        <v>161</v>
      </c>
      <c r="M197">
        <v>250</v>
      </c>
      <c r="N197" t="s">
        <v>162</v>
      </c>
    </row>
    <row r="198" spans="1:14" x14ac:dyDescent="0.25">
      <c r="A198" t="s">
        <v>167</v>
      </c>
      <c r="B198" s="1">
        <v>45664</v>
      </c>
      <c r="C198" t="s">
        <v>214</v>
      </c>
      <c r="D198" t="s">
        <v>157</v>
      </c>
      <c r="E198" t="s">
        <v>215</v>
      </c>
      <c r="F198" t="s">
        <v>157</v>
      </c>
      <c r="G198" t="s">
        <v>174</v>
      </c>
      <c r="H198" t="s">
        <v>159</v>
      </c>
      <c r="I198">
        <v>140</v>
      </c>
      <c r="J198" t="s">
        <v>160</v>
      </c>
      <c r="K198">
        <v>1</v>
      </c>
      <c r="L198" t="s">
        <v>161</v>
      </c>
      <c r="M198">
        <v>140</v>
      </c>
      <c r="N198" t="s">
        <v>162</v>
      </c>
    </row>
    <row r="199" spans="1:14" x14ac:dyDescent="0.25">
      <c r="A199" t="s">
        <v>167</v>
      </c>
      <c r="B199" s="1">
        <v>45664</v>
      </c>
      <c r="C199" t="s">
        <v>216</v>
      </c>
      <c r="D199" t="s">
        <v>157</v>
      </c>
      <c r="E199" t="s">
        <v>215</v>
      </c>
      <c r="F199" t="s">
        <v>157</v>
      </c>
      <c r="G199" t="s">
        <v>174</v>
      </c>
      <c r="H199" t="s">
        <v>159</v>
      </c>
      <c r="I199">
        <v>140</v>
      </c>
      <c r="J199" t="s">
        <v>160</v>
      </c>
      <c r="K199">
        <v>1</v>
      </c>
      <c r="L199" t="s">
        <v>161</v>
      </c>
      <c r="M199">
        <v>140</v>
      </c>
      <c r="N199" t="s">
        <v>162</v>
      </c>
    </row>
    <row r="200" spans="1:14" x14ac:dyDescent="0.25">
      <c r="A200" t="s">
        <v>163</v>
      </c>
      <c r="B200" s="1">
        <v>45662</v>
      </c>
      <c r="C200" t="s">
        <v>217</v>
      </c>
      <c r="D200" t="s">
        <v>157</v>
      </c>
      <c r="E200" t="s">
        <v>218</v>
      </c>
      <c r="F200" t="s">
        <v>157</v>
      </c>
      <c r="G200" t="s">
        <v>174</v>
      </c>
      <c r="H200" t="s">
        <v>159</v>
      </c>
      <c r="I200">
        <v>100</v>
      </c>
      <c r="J200" t="s">
        <v>160</v>
      </c>
      <c r="K200">
        <v>1</v>
      </c>
      <c r="L200" t="s">
        <v>161</v>
      </c>
      <c r="M200">
        <v>100</v>
      </c>
      <c r="N200" t="s">
        <v>162</v>
      </c>
    </row>
    <row r="201" spans="1:14" x14ac:dyDescent="0.25">
      <c r="A201" t="s">
        <v>167</v>
      </c>
      <c r="B201" s="1">
        <v>45662</v>
      </c>
      <c r="C201" t="s">
        <v>214</v>
      </c>
      <c r="D201" t="s">
        <v>157</v>
      </c>
      <c r="E201" t="s">
        <v>218</v>
      </c>
      <c r="F201" t="s">
        <v>157</v>
      </c>
      <c r="G201" t="s">
        <v>174</v>
      </c>
      <c r="H201" t="s">
        <v>159</v>
      </c>
      <c r="I201">
        <v>100</v>
      </c>
      <c r="J201" t="s">
        <v>160</v>
      </c>
      <c r="K201">
        <v>1</v>
      </c>
      <c r="L201" t="s">
        <v>161</v>
      </c>
      <c r="M201">
        <v>100</v>
      </c>
      <c r="N201" t="s">
        <v>162</v>
      </c>
    </row>
    <row r="202" spans="1:14" x14ac:dyDescent="0.25">
      <c r="A202" t="s">
        <v>167</v>
      </c>
      <c r="B202" s="1">
        <v>45662</v>
      </c>
      <c r="C202" t="s">
        <v>216</v>
      </c>
      <c r="D202" t="s">
        <v>157</v>
      </c>
      <c r="E202" t="s">
        <v>218</v>
      </c>
      <c r="F202" t="s">
        <v>157</v>
      </c>
      <c r="G202" t="s">
        <v>174</v>
      </c>
      <c r="H202" t="s">
        <v>159</v>
      </c>
      <c r="I202">
        <v>100</v>
      </c>
      <c r="J202" t="s">
        <v>160</v>
      </c>
      <c r="K202">
        <v>1</v>
      </c>
      <c r="L202" t="s">
        <v>161</v>
      </c>
      <c r="M202">
        <v>100</v>
      </c>
      <c r="N202" t="s">
        <v>162</v>
      </c>
    </row>
    <row r="203" spans="1:14" x14ac:dyDescent="0.25">
      <c r="A203" t="s">
        <v>167</v>
      </c>
      <c r="B203" s="1">
        <v>45666</v>
      </c>
      <c r="C203" t="s">
        <v>182</v>
      </c>
      <c r="D203" t="s">
        <v>157</v>
      </c>
      <c r="E203" t="s">
        <v>218</v>
      </c>
      <c r="F203" t="s">
        <v>157</v>
      </c>
      <c r="G203" t="s">
        <v>174</v>
      </c>
      <c r="H203" t="s">
        <v>159</v>
      </c>
      <c r="I203">
        <v>100</v>
      </c>
      <c r="J203" t="s">
        <v>160</v>
      </c>
      <c r="K203">
        <v>1</v>
      </c>
      <c r="L203" t="s">
        <v>161</v>
      </c>
      <c r="M203">
        <v>100</v>
      </c>
      <c r="N203" t="s">
        <v>162</v>
      </c>
    </row>
    <row r="204" spans="1:14" x14ac:dyDescent="0.25">
      <c r="A204" t="s">
        <v>164</v>
      </c>
      <c r="B204" s="1">
        <v>45664</v>
      </c>
      <c r="D204" t="s">
        <v>157</v>
      </c>
      <c r="E204" t="s">
        <v>219</v>
      </c>
      <c r="F204" t="s">
        <v>157</v>
      </c>
      <c r="G204" t="s">
        <v>158</v>
      </c>
      <c r="H204" t="s">
        <v>159</v>
      </c>
      <c r="I204">
        <v>140</v>
      </c>
      <c r="J204" t="s">
        <v>160</v>
      </c>
      <c r="K204">
        <v>19</v>
      </c>
      <c r="L204" t="s">
        <v>161</v>
      </c>
      <c r="M204">
        <v>2660</v>
      </c>
      <c r="N204" t="s">
        <v>162</v>
      </c>
    </row>
    <row r="205" spans="1:14" x14ac:dyDescent="0.25">
      <c r="A205" t="s">
        <v>156</v>
      </c>
      <c r="B205" s="1">
        <v>45672</v>
      </c>
      <c r="D205" t="s">
        <v>157</v>
      </c>
      <c r="E205" t="s">
        <v>219</v>
      </c>
      <c r="F205" t="s">
        <v>157</v>
      </c>
      <c r="G205" t="s">
        <v>158</v>
      </c>
      <c r="H205" t="s">
        <v>159</v>
      </c>
      <c r="I205">
        <v>140</v>
      </c>
      <c r="J205" t="s">
        <v>160</v>
      </c>
      <c r="K205">
        <v>8</v>
      </c>
      <c r="L205" t="s">
        <v>161</v>
      </c>
      <c r="M205">
        <v>1120</v>
      </c>
      <c r="N205" t="s">
        <v>162</v>
      </c>
    </row>
    <row r="206" spans="1:14" x14ac:dyDescent="0.25">
      <c r="A206" t="s">
        <v>167</v>
      </c>
      <c r="B206" s="1">
        <v>45664</v>
      </c>
      <c r="D206" t="s">
        <v>157</v>
      </c>
      <c r="E206" t="s">
        <v>219</v>
      </c>
      <c r="F206" t="s">
        <v>157</v>
      </c>
      <c r="G206" t="s">
        <v>158</v>
      </c>
      <c r="H206" t="s">
        <v>159</v>
      </c>
      <c r="I206">
        <v>140</v>
      </c>
      <c r="J206" t="s">
        <v>160</v>
      </c>
      <c r="K206">
        <v>23</v>
      </c>
      <c r="L206" t="s">
        <v>161</v>
      </c>
      <c r="M206">
        <v>3220</v>
      </c>
      <c r="N206" t="s">
        <v>162</v>
      </c>
    </row>
    <row r="207" spans="1:14" x14ac:dyDescent="0.25">
      <c r="A207" t="s">
        <v>168</v>
      </c>
      <c r="B207" s="1">
        <v>45664</v>
      </c>
      <c r="D207" t="s">
        <v>157</v>
      </c>
      <c r="E207" t="s">
        <v>219</v>
      </c>
      <c r="F207" t="s">
        <v>157</v>
      </c>
      <c r="G207" t="s">
        <v>158</v>
      </c>
      <c r="H207" t="s">
        <v>159</v>
      </c>
      <c r="I207">
        <v>140</v>
      </c>
      <c r="J207" t="s">
        <v>160</v>
      </c>
      <c r="K207">
        <v>50</v>
      </c>
      <c r="L207" t="s">
        <v>161</v>
      </c>
      <c r="M207">
        <v>7000</v>
      </c>
      <c r="N207" t="s">
        <v>162</v>
      </c>
    </row>
    <row r="208" spans="1:14" x14ac:dyDescent="0.25">
      <c r="A208" t="s">
        <v>163</v>
      </c>
      <c r="B208" s="1">
        <v>45664</v>
      </c>
      <c r="D208" t="s">
        <v>157</v>
      </c>
      <c r="E208" t="s">
        <v>219</v>
      </c>
      <c r="F208" t="s">
        <v>157</v>
      </c>
      <c r="G208" t="s">
        <v>158</v>
      </c>
      <c r="H208" t="s">
        <v>159</v>
      </c>
      <c r="I208">
        <v>140</v>
      </c>
      <c r="J208" t="s">
        <v>160</v>
      </c>
      <c r="K208">
        <v>21</v>
      </c>
      <c r="L208" t="s">
        <v>161</v>
      </c>
      <c r="M208">
        <v>2940</v>
      </c>
      <c r="N208" t="s">
        <v>162</v>
      </c>
    </row>
    <row r="209" spans="1:14" x14ac:dyDescent="0.25">
      <c r="A209" t="s">
        <v>156</v>
      </c>
      <c r="B209" s="1">
        <v>45664</v>
      </c>
      <c r="D209" t="s">
        <v>157</v>
      </c>
      <c r="E209" t="s">
        <v>219</v>
      </c>
      <c r="F209" t="s">
        <v>157</v>
      </c>
      <c r="G209" t="s">
        <v>158</v>
      </c>
      <c r="H209" t="s">
        <v>159</v>
      </c>
      <c r="I209">
        <v>140</v>
      </c>
      <c r="J209" t="s">
        <v>160</v>
      </c>
      <c r="K209">
        <v>42</v>
      </c>
      <c r="L209" t="s">
        <v>161</v>
      </c>
      <c r="M209">
        <v>5880</v>
      </c>
      <c r="N209" t="s">
        <v>162</v>
      </c>
    </row>
    <row r="210" spans="1:14" x14ac:dyDescent="0.25">
      <c r="A210" t="s">
        <v>165</v>
      </c>
      <c r="B210" s="1">
        <v>45664</v>
      </c>
      <c r="D210" t="s">
        <v>157</v>
      </c>
      <c r="E210" t="s">
        <v>220</v>
      </c>
      <c r="F210" t="s">
        <v>157</v>
      </c>
      <c r="G210" t="s">
        <v>166</v>
      </c>
      <c r="H210" t="s">
        <v>159</v>
      </c>
      <c r="I210">
        <v>1</v>
      </c>
      <c r="J210" t="s">
        <v>160</v>
      </c>
      <c r="K210">
        <v>24</v>
      </c>
      <c r="L210" t="s">
        <v>161</v>
      </c>
      <c r="M210">
        <v>24</v>
      </c>
      <c r="N210" t="s">
        <v>162</v>
      </c>
    </row>
    <row r="211" spans="1:14" x14ac:dyDescent="0.25">
      <c r="A211" t="s">
        <v>156</v>
      </c>
      <c r="B211" s="1">
        <v>45676</v>
      </c>
      <c r="D211" t="s">
        <v>157</v>
      </c>
      <c r="E211" t="s">
        <v>221</v>
      </c>
      <c r="F211" t="s">
        <v>157</v>
      </c>
      <c r="G211" t="s">
        <v>158</v>
      </c>
      <c r="H211" t="s">
        <v>159</v>
      </c>
      <c r="I211">
        <v>100</v>
      </c>
      <c r="J211" t="s">
        <v>160</v>
      </c>
      <c r="K211">
        <v>4</v>
      </c>
      <c r="L211" t="s">
        <v>161</v>
      </c>
      <c r="M211">
        <v>400</v>
      </c>
      <c r="N211" t="s">
        <v>162</v>
      </c>
    </row>
    <row r="212" spans="1:14" x14ac:dyDescent="0.25">
      <c r="A212" t="s">
        <v>164</v>
      </c>
      <c r="B212" s="1">
        <v>45666</v>
      </c>
      <c r="D212" t="s">
        <v>157</v>
      </c>
      <c r="E212" t="s">
        <v>221</v>
      </c>
      <c r="F212" t="s">
        <v>157</v>
      </c>
      <c r="G212" t="s">
        <v>158</v>
      </c>
      <c r="H212" t="s">
        <v>159</v>
      </c>
      <c r="I212">
        <v>100</v>
      </c>
      <c r="J212" t="s">
        <v>160</v>
      </c>
      <c r="K212">
        <v>22</v>
      </c>
      <c r="L212" t="s">
        <v>161</v>
      </c>
      <c r="M212">
        <v>2200</v>
      </c>
      <c r="N212" t="s">
        <v>162</v>
      </c>
    </row>
    <row r="213" spans="1:14" x14ac:dyDescent="0.25">
      <c r="A213" t="s">
        <v>163</v>
      </c>
      <c r="B213" s="1">
        <v>45666</v>
      </c>
      <c r="D213" t="s">
        <v>157</v>
      </c>
      <c r="E213" t="s">
        <v>221</v>
      </c>
      <c r="F213" t="s">
        <v>157</v>
      </c>
      <c r="G213" t="s">
        <v>158</v>
      </c>
      <c r="H213" t="s">
        <v>159</v>
      </c>
      <c r="I213">
        <v>100</v>
      </c>
      <c r="J213" t="s">
        <v>160</v>
      </c>
      <c r="K213">
        <v>20</v>
      </c>
      <c r="L213" t="s">
        <v>161</v>
      </c>
      <c r="M213">
        <v>2000</v>
      </c>
      <c r="N213" t="s">
        <v>162</v>
      </c>
    </row>
    <row r="214" spans="1:14" x14ac:dyDescent="0.25">
      <c r="A214" t="s">
        <v>167</v>
      </c>
      <c r="B214" s="1">
        <v>45666</v>
      </c>
      <c r="D214" t="s">
        <v>157</v>
      </c>
      <c r="E214" t="s">
        <v>221</v>
      </c>
      <c r="F214" t="s">
        <v>157</v>
      </c>
      <c r="G214" t="s">
        <v>158</v>
      </c>
      <c r="H214" t="s">
        <v>159</v>
      </c>
      <c r="I214">
        <v>100</v>
      </c>
      <c r="J214" t="s">
        <v>160</v>
      </c>
      <c r="K214">
        <v>21</v>
      </c>
      <c r="L214" t="s">
        <v>161</v>
      </c>
      <c r="M214">
        <v>2100</v>
      </c>
      <c r="N214" t="s">
        <v>162</v>
      </c>
    </row>
    <row r="215" spans="1:14" x14ac:dyDescent="0.25">
      <c r="A215" t="s">
        <v>168</v>
      </c>
      <c r="B215" s="1">
        <v>45666</v>
      </c>
      <c r="D215" t="s">
        <v>157</v>
      </c>
      <c r="E215" t="s">
        <v>221</v>
      </c>
      <c r="F215" t="s">
        <v>157</v>
      </c>
      <c r="G215" t="s">
        <v>158</v>
      </c>
      <c r="H215" t="s">
        <v>159</v>
      </c>
      <c r="I215">
        <v>100</v>
      </c>
      <c r="J215" t="s">
        <v>160</v>
      </c>
      <c r="K215">
        <v>50</v>
      </c>
      <c r="L215" t="s">
        <v>161</v>
      </c>
      <c r="M215">
        <v>5000</v>
      </c>
      <c r="N215" t="s">
        <v>162</v>
      </c>
    </row>
    <row r="216" spans="1:14" x14ac:dyDescent="0.25">
      <c r="A216" t="s">
        <v>172</v>
      </c>
      <c r="B216" s="1">
        <v>45667</v>
      </c>
      <c r="D216" t="s">
        <v>157</v>
      </c>
      <c r="E216" t="s">
        <v>221</v>
      </c>
      <c r="F216" t="s">
        <v>157</v>
      </c>
      <c r="G216" t="s">
        <v>158</v>
      </c>
      <c r="H216" t="s">
        <v>159</v>
      </c>
      <c r="I216">
        <v>100</v>
      </c>
      <c r="J216" t="s">
        <v>160</v>
      </c>
      <c r="K216">
        <v>8</v>
      </c>
      <c r="L216" t="s">
        <v>161</v>
      </c>
      <c r="M216">
        <v>800</v>
      </c>
      <c r="N216" t="s">
        <v>162</v>
      </c>
    </row>
    <row r="217" spans="1:14" x14ac:dyDescent="0.25">
      <c r="A217" t="s">
        <v>156</v>
      </c>
      <c r="B217" s="1">
        <v>45667</v>
      </c>
      <c r="D217" t="s">
        <v>157</v>
      </c>
      <c r="E217" t="s">
        <v>221</v>
      </c>
      <c r="F217" t="s">
        <v>157</v>
      </c>
      <c r="G217" t="s">
        <v>158</v>
      </c>
      <c r="H217" t="s">
        <v>159</v>
      </c>
      <c r="I217">
        <v>100</v>
      </c>
      <c r="J217" t="s">
        <v>160</v>
      </c>
      <c r="K217">
        <v>12</v>
      </c>
      <c r="L217" t="s">
        <v>161</v>
      </c>
      <c r="M217">
        <v>1200</v>
      </c>
      <c r="N217" t="s">
        <v>162</v>
      </c>
    </row>
    <row r="218" spans="1:14" x14ac:dyDescent="0.25">
      <c r="A218" t="s">
        <v>156</v>
      </c>
      <c r="B218" s="1">
        <v>45666</v>
      </c>
      <c r="D218" t="s">
        <v>157</v>
      </c>
      <c r="E218" t="s">
        <v>221</v>
      </c>
      <c r="F218" t="s">
        <v>157</v>
      </c>
      <c r="G218" t="s">
        <v>158</v>
      </c>
      <c r="H218" t="s">
        <v>159</v>
      </c>
      <c r="I218">
        <v>100</v>
      </c>
      <c r="J218" t="s">
        <v>160</v>
      </c>
      <c r="K218">
        <v>50</v>
      </c>
      <c r="L218" t="s">
        <v>161</v>
      </c>
      <c r="M218">
        <v>5000</v>
      </c>
      <c r="N218" t="s">
        <v>162</v>
      </c>
    </row>
    <row r="219" spans="1:14" x14ac:dyDescent="0.25">
      <c r="A219" t="s">
        <v>156</v>
      </c>
      <c r="B219" s="1">
        <v>45676</v>
      </c>
      <c r="D219" t="s">
        <v>157</v>
      </c>
      <c r="E219" t="s">
        <v>158</v>
      </c>
      <c r="F219" t="s">
        <v>157</v>
      </c>
      <c r="G219" t="s">
        <v>158</v>
      </c>
      <c r="H219" t="s">
        <v>159</v>
      </c>
      <c r="I219">
        <f>1/25</f>
        <v>0.04</v>
      </c>
      <c r="J219" t="s">
        <v>160</v>
      </c>
      <c r="K219">
        <v>4</v>
      </c>
      <c r="L219" t="s">
        <v>161</v>
      </c>
      <c r="M219">
        <v>1</v>
      </c>
      <c r="N219" t="s">
        <v>162</v>
      </c>
    </row>
    <row r="220" spans="1:14" x14ac:dyDescent="0.25">
      <c r="A220" t="s">
        <v>165</v>
      </c>
      <c r="B220" s="1">
        <v>45666</v>
      </c>
      <c r="D220" t="s">
        <v>157</v>
      </c>
      <c r="E220" t="s">
        <v>222</v>
      </c>
      <c r="F220" t="s">
        <v>157</v>
      </c>
      <c r="G220" t="s">
        <v>158</v>
      </c>
      <c r="H220" t="s">
        <v>159</v>
      </c>
      <c r="I220">
        <v>1</v>
      </c>
      <c r="J220" t="s">
        <v>160</v>
      </c>
      <c r="K220">
        <v>24</v>
      </c>
      <c r="L220" t="s">
        <v>161</v>
      </c>
      <c r="M220">
        <v>24</v>
      </c>
      <c r="N220" t="s">
        <v>162</v>
      </c>
    </row>
    <row r="221" spans="1:14" x14ac:dyDescent="0.25">
      <c r="A221" t="s">
        <v>165</v>
      </c>
      <c r="B221" s="1">
        <v>45662</v>
      </c>
      <c r="D221" t="s">
        <v>157</v>
      </c>
      <c r="E221" t="s">
        <v>223</v>
      </c>
      <c r="F221" t="s">
        <v>157</v>
      </c>
      <c r="G221" t="s">
        <v>158</v>
      </c>
      <c r="H221" t="s">
        <v>159</v>
      </c>
      <c r="I221">
        <v>1</v>
      </c>
      <c r="J221" t="s">
        <v>160</v>
      </c>
      <c r="K221">
        <v>24</v>
      </c>
      <c r="L221" t="s">
        <v>161</v>
      </c>
      <c r="M221">
        <v>24</v>
      </c>
      <c r="N221" t="s">
        <v>162</v>
      </c>
    </row>
    <row r="222" spans="1:14" x14ac:dyDescent="0.25">
      <c r="A222" t="s">
        <v>164</v>
      </c>
      <c r="B222" s="1">
        <v>45663</v>
      </c>
      <c r="D222" t="s">
        <v>157</v>
      </c>
      <c r="E222" t="s">
        <v>176</v>
      </c>
      <c r="F222" t="s">
        <v>157</v>
      </c>
      <c r="G222" t="s">
        <v>158</v>
      </c>
      <c r="H222" t="s">
        <v>159</v>
      </c>
      <c r="I222">
        <v>1</v>
      </c>
      <c r="J222" t="s">
        <v>160</v>
      </c>
      <c r="K222">
        <v>23</v>
      </c>
      <c r="L222" t="s">
        <v>161</v>
      </c>
      <c r="M222">
        <v>23</v>
      </c>
      <c r="N222" t="s">
        <v>162</v>
      </c>
    </row>
    <row r="223" spans="1:14" x14ac:dyDescent="0.25">
      <c r="A223" t="s">
        <v>168</v>
      </c>
      <c r="B223" s="1">
        <v>45663</v>
      </c>
      <c r="D223" t="s">
        <v>157</v>
      </c>
      <c r="E223" t="s">
        <v>176</v>
      </c>
      <c r="F223" t="s">
        <v>157</v>
      </c>
      <c r="G223" t="s">
        <v>158</v>
      </c>
      <c r="H223" t="s">
        <v>159</v>
      </c>
      <c r="I223">
        <v>1</v>
      </c>
      <c r="J223" t="s">
        <v>160</v>
      </c>
      <c r="K223">
        <v>51</v>
      </c>
      <c r="L223" t="s">
        <v>161</v>
      </c>
      <c r="M223">
        <v>51</v>
      </c>
      <c r="N223" t="s">
        <v>162</v>
      </c>
    </row>
    <row r="224" spans="1:14" x14ac:dyDescent="0.25">
      <c r="A224" t="s">
        <v>156</v>
      </c>
      <c r="B224" s="1">
        <v>45671</v>
      </c>
      <c r="D224" t="s">
        <v>157</v>
      </c>
      <c r="E224" t="s">
        <v>176</v>
      </c>
      <c r="F224" t="s">
        <v>157</v>
      </c>
      <c r="G224" t="s">
        <v>158</v>
      </c>
      <c r="H224" t="s">
        <v>159</v>
      </c>
      <c r="I224">
        <v>0.5</v>
      </c>
      <c r="J224" t="s">
        <v>160</v>
      </c>
      <c r="K224">
        <v>6</v>
      </c>
      <c r="L224" t="s">
        <v>161</v>
      </c>
      <c r="M224">
        <v>3</v>
      </c>
      <c r="N224" t="s">
        <v>162</v>
      </c>
    </row>
    <row r="225" spans="1:14" x14ac:dyDescent="0.25">
      <c r="A225" t="s">
        <v>167</v>
      </c>
      <c r="B225" s="1">
        <v>45663</v>
      </c>
      <c r="D225" t="s">
        <v>157</v>
      </c>
      <c r="E225" t="s">
        <v>176</v>
      </c>
      <c r="F225" t="s">
        <v>157</v>
      </c>
      <c r="G225" t="s">
        <v>158</v>
      </c>
      <c r="H225" t="s">
        <v>159</v>
      </c>
      <c r="I225">
        <v>1</v>
      </c>
      <c r="J225" t="s">
        <v>160</v>
      </c>
      <c r="K225">
        <v>27</v>
      </c>
      <c r="L225" t="s">
        <v>161</v>
      </c>
      <c r="M225">
        <v>27</v>
      </c>
      <c r="N225" t="s">
        <v>162</v>
      </c>
    </row>
    <row r="226" spans="1:14" x14ac:dyDescent="0.25">
      <c r="A226" t="s">
        <v>163</v>
      </c>
      <c r="B226" s="1">
        <v>45663</v>
      </c>
      <c r="D226" t="s">
        <v>157</v>
      </c>
      <c r="E226" t="s">
        <v>176</v>
      </c>
      <c r="F226" t="s">
        <v>157</v>
      </c>
      <c r="G226" t="s">
        <v>158</v>
      </c>
      <c r="H226" t="s">
        <v>159</v>
      </c>
      <c r="I226">
        <v>1</v>
      </c>
      <c r="J226" t="s">
        <v>160</v>
      </c>
      <c r="K226">
        <v>18</v>
      </c>
      <c r="L226" t="s">
        <v>161</v>
      </c>
      <c r="M226">
        <v>18</v>
      </c>
      <c r="N226" t="s">
        <v>162</v>
      </c>
    </row>
    <row r="227" spans="1:14" x14ac:dyDescent="0.25">
      <c r="A227" t="s">
        <v>165</v>
      </c>
      <c r="B227" s="1">
        <v>45663</v>
      </c>
      <c r="D227" t="s">
        <v>157</v>
      </c>
      <c r="E227" t="s">
        <v>176</v>
      </c>
      <c r="F227" t="s">
        <v>157</v>
      </c>
      <c r="G227" t="s">
        <v>166</v>
      </c>
      <c r="H227" t="s">
        <v>159</v>
      </c>
      <c r="I227">
        <v>1</v>
      </c>
      <c r="J227" t="s">
        <v>160</v>
      </c>
      <c r="K227">
        <v>24</v>
      </c>
      <c r="L227" t="s">
        <v>161</v>
      </c>
      <c r="M227">
        <v>24</v>
      </c>
      <c r="N227" t="s">
        <v>162</v>
      </c>
    </row>
    <row r="228" spans="1:14" x14ac:dyDescent="0.25">
      <c r="A228" t="s">
        <v>156</v>
      </c>
      <c r="B228" s="1">
        <v>45663</v>
      </c>
      <c r="D228" t="s">
        <v>157</v>
      </c>
      <c r="E228" t="s">
        <v>176</v>
      </c>
      <c r="F228" t="s">
        <v>157</v>
      </c>
      <c r="G228" t="s">
        <v>158</v>
      </c>
      <c r="H228" t="s">
        <v>159</v>
      </c>
      <c r="I228">
        <v>1</v>
      </c>
      <c r="J228" t="s">
        <v>160</v>
      </c>
      <c r="K228">
        <v>50</v>
      </c>
      <c r="L228" t="s">
        <v>161</v>
      </c>
      <c r="M228">
        <v>50</v>
      </c>
      <c r="N228" t="s">
        <v>162</v>
      </c>
    </row>
    <row r="229" spans="1:14" x14ac:dyDescent="0.25">
      <c r="A229" t="s">
        <v>164</v>
      </c>
      <c r="B229" s="1">
        <v>45662</v>
      </c>
      <c r="D229" t="s">
        <v>157</v>
      </c>
      <c r="E229" t="s">
        <v>173</v>
      </c>
      <c r="F229" t="s">
        <v>157</v>
      </c>
      <c r="G229" t="s">
        <v>158</v>
      </c>
      <c r="H229" t="s">
        <v>159</v>
      </c>
      <c r="I229">
        <v>50</v>
      </c>
      <c r="J229" t="s">
        <v>160</v>
      </c>
      <c r="K229">
        <v>20</v>
      </c>
      <c r="L229" t="s">
        <v>161</v>
      </c>
      <c r="M229">
        <v>1000</v>
      </c>
      <c r="N229" t="s">
        <v>162</v>
      </c>
    </row>
    <row r="230" spans="1:14" x14ac:dyDescent="0.25">
      <c r="A230" t="s">
        <v>156</v>
      </c>
      <c r="B230" s="1">
        <v>45670</v>
      </c>
      <c r="D230" t="s">
        <v>157</v>
      </c>
      <c r="E230" t="s">
        <v>173</v>
      </c>
      <c r="F230" t="s">
        <v>157</v>
      </c>
      <c r="G230" t="s">
        <v>158</v>
      </c>
      <c r="H230" t="s">
        <v>159</v>
      </c>
      <c r="I230">
        <v>50</v>
      </c>
      <c r="J230" t="s">
        <v>160</v>
      </c>
      <c r="K230">
        <v>5</v>
      </c>
      <c r="L230" t="s">
        <v>161</v>
      </c>
      <c r="M230">
        <v>250</v>
      </c>
      <c r="N230" t="s">
        <v>162</v>
      </c>
    </row>
    <row r="231" spans="1:14" x14ac:dyDescent="0.25">
      <c r="A231" t="s">
        <v>168</v>
      </c>
      <c r="B231" s="1">
        <v>45662</v>
      </c>
      <c r="D231" t="s">
        <v>157</v>
      </c>
      <c r="E231" t="s">
        <v>173</v>
      </c>
      <c r="F231" t="s">
        <v>157</v>
      </c>
      <c r="G231" t="s">
        <v>158</v>
      </c>
      <c r="H231" t="s">
        <v>159</v>
      </c>
      <c r="I231">
        <v>50</v>
      </c>
      <c r="J231" t="s">
        <v>160</v>
      </c>
      <c r="K231">
        <v>30</v>
      </c>
      <c r="L231" t="s">
        <v>161</v>
      </c>
      <c r="M231">
        <v>1500</v>
      </c>
      <c r="N231" t="s">
        <v>162</v>
      </c>
    </row>
    <row r="232" spans="1:14" x14ac:dyDescent="0.25">
      <c r="A232" t="s">
        <v>163</v>
      </c>
      <c r="B232" s="1">
        <v>45662</v>
      </c>
      <c r="D232" t="s">
        <v>157</v>
      </c>
      <c r="E232" t="s">
        <v>173</v>
      </c>
      <c r="F232" t="s">
        <v>157</v>
      </c>
      <c r="G232" t="s">
        <v>158</v>
      </c>
      <c r="H232" t="s">
        <v>159</v>
      </c>
      <c r="I232">
        <v>50</v>
      </c>
      <c r="J232" t="s">
        <v>160</v>
      </c>
      <c r="K232">
        <v>18</v>
      </c>
      <c r="L232" t="s">
        <v>161</v>
      </c>
      <c r="M232">
        <v>900</v>
      </c>
      <c r="N232" t="s">
        <v>162</v>
      </c>
    </row>
    <row r="233" spans="1:14" x14ac:dyDescent="0.25">
      <c r="A233" t="s">
        <v>167</v>
      </c>
      <c r="B233" s="1">
        <v>45662</v>
      </c>
      <c r="C233" t="s">
        <v>224</v>
      </c>
      <c r="D233" t="s">
        <v>157</v>
      </c>
      <c r="E233" t="s">
        <v>173</v>
      </c>
      <c r="F233" t="s">
        <v>157</v>
      </c>
      <c r="G233" t="s">
        <v>158</v>
      </c>
      <c r="H233" t="s">
        <v>159</v>
      </c>
      <c r="I233">
        <v>50</v>
      </c>
      <c r="J233" t="s">
        <v>160</v>
      </c>
      <c r="K233">
        <v>25</v>
      </c>
      <c r="L233" t="s">
        <v>161</v>
      </c>
      <c r="M233">
        <v>1250</v>
      </c>
      <c r="N233" t="s">
        <v>162</v>
      </c>
    </row>
    <row r="234" spans="1:14" x14ac:dyDescent="0.25">
      <c r="A234" t="s">
        <v>156</v>
      </c>
      <c r="B234" s="1">
        <v>45662</v>
      </c>
      <c r="D234" t="s">
        <v>157</v>
      </c>
      <c r="E234" t="s">
        <v>173</v>
      </c>
      <c r="F234" t="s">
        <v>157</v>
      </c>
      <c r="G234" t="s">
        <v>158</v>
      </c>
      <c r="H234" t="s">
        <v>159</v>
      </c>
      <c r="I234">
        <v>50</v>
      </c>
      <c r="J234" t="s">
        <v>160</v>
      </c>
      <c r="K234">
        <v>50</v>
      </c>
      <c r="L234" t="s">
        <v>161</v>
      </c>
      <c r="M234">
        <v>2500</v>
      </c>
      <c r="N234" t="s">
        <v>162</v>
      </c>
    </row>
    <row r="235" spans="1:14" x14ac:dyDescent="0.25">
      <c r="A235" t="s">
        <v>165</v>
      </c>
      <c r="B235" s="1">
        <v>45667</v>
      </c>
      <c r="D235" t="s">
        <v>157</v>
      </c>
      <c r="E235" t="s">
        <v>157</v>
      </c>
      <c r="F235" t="s">
        <v>157</v>
      </c>
      <c r="G235" t="s">
        <v>166</v>
      </c>
      <c r="H235" t="s">
        <v>159</v>
      </c>
      <c r="I235">
        <v>1</v>
      </c>
      <c r="J235" t="s">
        <v>160</v>
      </c>
      <c r="K235">
        <v>24</v>
      </c>
      <c r="L235" t="s">
        <v>161</v>
      </c>
      <c r="M235">
        <v>24</v>
      </c>
      <c r="N235" t="s">
        <v>162</v>
      </c>
    </row>
    <row r="236" spans="1:14" x14ac:dyDescent="0.25">
      <c r="A236" t="s">
        <v>165</v>
      </c>
      <c r="B236" s="1">
        <v>45665</v>
      </c>
      <c r="D236" t="s">
        <v>157</v>
      </c>
      <c r="E236" t="s">
        <v>178</v>
      </c>
      <c r="F236" t="s">
        <v>157</v>
      </c>
      <c r="G236" t="s">
        <v>166</v>
      </c>
      <c r="H236" t="s">
        <v>159</v>
      </c>
      <c r="I236">
        <v>1</v>
      </c>
      <c r="J236" t="s">
        <v>160</v>
      </c>
      <c r="K236">
        <v>24</v>
      </c>
      <c r="L236" t="s">
        <v>161</v>
      </c>
      <c r="M236">
        <v>24</v>
      </c>
      <c r="N236" t="s">
        <v>162</v>
      </c>
    </row>
    <row r="237" spans="1:14" x14ac:dyDescent="0.25">
      <c r="A237" t="s">
        <v>164</v>
      </c>
      <c r="B237" s="1">
        <v>45662</v>
      </c>
      <c r="D237" t="s">
        <v>157</v>
      </c>
      <c r="E237" t="s">
        <v>173</v>
      </c>
      <c r="F237" t="s">
        <v>157</v>
      </c>
      <c r="G237" t="s">
        <v>158</v>
      </c>
      <c r="H237" t="s">
        <v>159</v>
      </c>
      <c r="I237">
        <v>100</v>
      </c>
      <c r="J237" t="s">
        <v>160</v>
      </c>
      <c r="K237">
        <v>20</v>
      </c>
      <c r="L237" t="s">
        <v>161</v>
      </c>
      <c r="M237">
        <v>2000</v>
      </c>
      <c r="N237" t="s">
        <v>162</v>
      </c>
    </row>
    <row r="238" spans="1:14" x14ac:dyDescent="0.25">
      <c r="A238" t="s">
        <v>168</v>
      </c>
      <c r="B238" s="1">
        <v>45662</v>
      </c>
      <c r="D238" t="s">
        <v>157</v>
      </c>
      <c r="E238" t="s">
        <v>173</v>
      </c>
      <c r="F238" t="s">
        <v>157</v>
      </c>
      <c r="G238" t="s">
        <v>158</v>
      </c>
      <c r="H238" t="s">
        <v>159</v>
      </c>
      <c r="I238">
        <v>100</v>
      </c>
      <c r="J238" t="s">
        <v>160</v>
      </c>
      <c r="K238">
        <v>30</v>
      </c>
      <c r="L238" t="s">
        <v>161</v>
      </c>
      <c r="M238">
        <v>3000</v>
      </c>
      <c r="N238" t="s">
        <v>162</v>
      </c>
    </row>
    <row r="239" spans="1:14" x14ac:dyDescent="0.25">
      <c r="A239" t="s">
        <v>156</v>
      </c>
      <c r="B239" s="1">
        <v>45670</v>
      </c>
      <c r="D239" t="s">
        <v>157</v>
      </c>
      <c r="E239" t="s">
        <v>173</v>
      </c>
      <c r="F239" t="s">
        <v>157</v>
      </c>
      <c r="G239" t="s">
        <v>158</v>
      </c>
      <c r="H239" t="s">
        <v>159</v>
      </c>
      <c r="I239">
        <v>100</v>
      </c>
      <c r="J239" t="s">
        <v>160</v>
      </c>
      <c r="K239">
        <v>5</v>
      </c>
      <c r="L239" t="s">
        <v>161</v>
      </c>
      <c r="M239">
        <v>500</v>
      </c>
      <c r="N239" t="s">
        <v>162</v>
      </c>
    </row>
    <row r="240" spans="1:14" x14ac:dyDescent="0.25">
      <c r="A240" t="s">
        <v>163</v>
      </c>
      <c r="B240" s="1">
        <v>45662</v>
      </c>
      <c r="D240" t="s">
        <v>157</v>
      </c>
      <c r="E240" t="s">
        <v>173</v>
      </c>
      <c r="F240" t="s">
        <v>157</v>
      </c>
      <c r="G240" t="s">
        <v>158</v>
      </c>
      <c r="H240" t="s">
        <v>159</v>
      </c>
      <c r="I240">
        <v>100</v>
      </c>
      <c r="J240" t="s">
        <v>160</v>
      </c>
      <c r="K240">
        <v>18</v>
      </c>
      <c r="L240" t="s">
        <v>161</v>
      </c>
      <c r="M240">
        <v>1800</v>
      </c>
      <c r="N240" t="s">
        <v>162</v>
      </c>
    </row>
    <row r="241" spans="1:14" x14ac:dyDescent="0.25">
      <c r="A241" t="s">
        <v>167</v>
      </c>
      <c r="B241" s="1">
        <v>45662</v>
      </c>
      <c r="D241" t="s">
        <v>157</v>
      </c>
      <c r="E241" t="s">
        <v>173</v>
      </c>
      <c r="F241" t="s">
        <v>157</v>
      </c>
      <c r="G241" t="s">
        <v>158</v>
      </c>
      <c r="H241" t="s">
        <v>159</v>
      </c>
      <c r="I241">
        <v>100</v>
      </c>
      <c r="J241" t="s">
        <v>160</v>
      </c>
      <c r="K241">
        <v>25</v>
      </c>
      <c r="L241" t="s">
        <v>161</v>
      </c>
      <c r="M241">
        <v>2500</v>
      </c>
      <c r="N241" t="s">
        <v>162</v>
      </c>
    </row>
    <row r="242" spans="1:14" x14ac:dyDescent="0.25">
      <c r="A242" t="s">
        <v>156</v>
      </c>
      <c r="B242" s="1">
        <v>45662</v>
      </c>
      <c r="D242" t="s">
        <v>157</v>
      </c>
      <c r="E242" t="s">
        <v>173</v>
      </c>
      <c r="F242" t="s">
        <v>157</v>
      </c>
      <c r="G242" t="s">
        <v>225</v>
      </c>
      <c r="H242" t="s">
        <v>159</v>
      </c>
      <c r="I242">
        <v>100</v>
      </c>
      <c r="J242" t="s">
        <v>160</v>
      </c>
      <c r="K242">
        <v>49</v>
      </c>
      <c r="L242" t="s">
        <v>161</v>
      </c>
      <c r="M242">
        <v>4900</v>
      </c>
      <c r="N242" t="s">
        <v>162</v>
      </c>
    </row>
    <row r="243" spans="1:14" x14ac:dyDescent="0.25">
      <c r="A243" t="s">
        <v>164</v>
      </c>
      <c r="B243" s="1">
        <v>45663</v>
      </c>
      <c r="D243" t="s">
        <v>157</v>
      </c>
      <c r="E243" t="s">
        <v>179</v>
      </c>
      <c r="F243" t="s">
        <v>157</v>
      </c>
      <c r="G243" t="s">
        <v>158</v>
      </c>
      <c r="H243" t="s">
        <v>159</v>
      </c>
      <c r="I243">
        <v>100</v>
      </c>
      <c r="J243" t="s">
        <v>160</v>
      </c>
      <c r="K243">
        <v>23</v>
      </c>
      <c r="L243" t="s">
        <v>161</v>
      </c>
      <c r="M243">
        <v>2300</v>
      </c>
      <c r="N243" t="s">
        <v>162</v>
      </c>
    </row>
    <row r="244" spans="1:14" x14ac:dyDescent="0.25">
      <c r="A244" t="s">
        <v>168</v>
      </c>
      <c r="B244" s="1">
        <v>45663</v>
      </c>
      <c r="D244" t="s">
        <v>157</v>
      </c>
      <c r="E244" t="s">
        <v>179</v>
      </c>
      <c r="F244" t="s">
        <v>157</v>
      </c>
      <c r="G244" t="s">
        <v>158</v>
      </c>
      <c r="H244" t="s">
        <v>159</v>
      </c>
      <c r="I244">
        <v>100</v>
      </c>
      <c r="J244" t="s">
        <v>160</v>
      </c>
      <c r="K244">
        <v>51</v>
      </c>
      <c r="L244" t="s">
        <v>161</v>
      </c>
      <c r="M244">
        <v>5100</v>
      </c>
      <c r="N244" t="s">
        <v>162</v>
      </c>
    </row>
    <row r="245" spans="1:14" x14ac:dyDescent="0.25">
      <c r="A245" t="s">
        <v>156</v>
      </c>
      <c r="B245" s="1">
        <v>45671</v>
      </c>
      <c r="D245" t="s">
        <v>157</v>
      </c>
      <c r="E245" t="s">
        <v>179</v>
      </c>
      <c r="F245" t="s">
        <v>157</v>
      </c>
      <c r="G245" t="s">
        <v>158</v>
      </c>
      <c r="H245" t="s">
        <v>159</v>
      </c>
      <c r="I245">
        <v>100</v>
      </c>
      <c r="J245" t="s">
        <v>160</v>
      </c>
      <c r="K245">
        <v>6</v>
      </c>
      <c r="L245" t="s">
        <v>161</v>
      </c>
      <c r="M245">
        <v>600</v>
      </c>
      <c r="N245" t="s">
        <v>162</v>
      </c>
    </row>
    <row r="246" spans="1:14" x14ac:dyDescent="0.25">
      <c r="A246" t="s">
        <v>167</v>
      </c>
      <c r="B246" s="1">
        <v>45663</v>
      </c>
      <c r="D246" t="s">
        <v>157</v>
      </c>
      <c r="E246" t="s">
        <v>179</v>
      </c>
      <c r="F246" t="s">
        <v>157</v>
      </c>
      <c r="G246" t="s">
        <v>158</v>
      </c>
      <c r="H246" t="s">
        <v>159</v>
      </c>
      <c r="I246">
        <v>100</v>
      </c>
      <c r="J246" t="s">
        <v>160</v>
      </c>
      <c r="K246">
        <v>27</v>
      </c>
      <c r="L246" t="s">
        <v>161</v>
      </c>
      <c r="M246">
        <v>2700</v>
      </c>
      <c r="N246" t="s">
        <v>162</v>
      </c>
    </row>
    <row r="247" spans="1:14" x14ac:dyDescent="0.25">
      <c r="A247" t="s">
        <v>163</v>
      </c>
      <c r="B247" s="1">
        <v>45663</v>
      </c>
      <c r="D247" t="s">
        <v>157</v>
      </c>
      <c r="E247" t="s">
        <v>179</v>
      </c>
      <c r="F247" t="s">
        <v>157</v>
      </c>
      <c r="G247" t="s">
        <v>158</v>
      </c>
      <c r="H247" t="s">
        <v>159</v>
      </c>
      <c r="I247">
        <v>100</v>
      </c>
      <c r="J247" t="s">
        <v>160</v>
      </c>
      <c r="K247">
        <v>18</v>
      </c>
      <c r="L247" t="s">
        <v>161</v>
      </c>
      <c r="M247">
        <v>1800</v>
      </c>
      <c r="N247" t="s">
        <v>162</v>
      </c>
    </row>
    <row r="248" spans="1:14" x14ac:dyDescent="0.25">
      <c r="A248" t="s">
        <v>156</v>
      </c>
      <c r="B248" s="1">
        <v>45663</v>
      </c>
      <c r="D248" t="s">
        <v>157</v>
      </c>
      <c r="E248" t="s">
        <v>179</v>
      </c>
      <c r="F248" t="s">
        <v>157</v>
      </c>
      <c r="G248" t="s">
        <v>158</v>
      </c>
      <c r="H248" t="s">
        <v>159</v>
      </c>
      <c r="I248">
        <v>100</v>
      </c>
      <c r="J248" t="s">
        <v>160</v>
      </c>
      <c r="K248">
        <v>50</v>
      </c>
      <c r="L248" t="s">
        <v>161</v>
      </c>
      <c r="M248">
        <v>5000</v>
      </c>
      <c r="N248" t="s">
        <v>162</v>
      </c>
    </row>
    <row r="249" spans="1:14" x14ac:dyDescent="0.25">
      <c r="A249" t="s">
        <v>156</v>
      </c>
      <c r="B249" s="1">
        <v>45665</v>
      </c>
      <c r="D249" t="s">
        <v>157</v>
      </c>
      <c r="E249" t="s">
        <v>226</v>
      </c>
      <c r="F249" t="s">
        <v>157</v>
      </c>
      <c r="G249" t="s">
        <v>157</v>
      </c>
      <c r="H249" t="s">
        <v>159</v>
      </c>
      <c r="I249">
        <v>250</v>
      </c>
      <c r="J249" t="s">
        <v>160</v>
      </c>
      <c r="K249">
        <v>43</v>
      </c>
      <c r="L249" t="s">
        <v>161</v>
      </c>
      <c r="M249">
        <v>10750</v>
      </c>
      <c r="N249" t="s">
        <v>162</v>
      </c>
    </row>
    <row r="250" spans="1:14" x14ac:dyDescent="0.25">
      <c r="A250" t="s">
        <v>164</v>
      </c>
      <c r="B250" s="1">
        <v>45664</v>
      </c>
      <c r="D250" t="s">
        <v>157</v>
      </c>
      <c r="E250" t="s">
        <v>227</v>
      </c>
      <c r="F250" t="s">
        <v>157</v>
      </c>
      <c r="G250" t="s">
        <v>158</v>
      </c>
      <c r="H250" t="s">
        <v>159</v>
      </c>
      <c r="I250">
        <v>4</v>
      </c>
      <c r="J250" t="s">
        <v>160</v>
      </c>
      <c r="K250">
        <v>19</v>
      </c>
      <c r="L250" t="s">
        <v>161</v>
      </c>
      <c r="M250">
        <v>76</v>
      </c>
      <c r="N250" t="s">
        <v>162</v>
      </c>
    </row>
    <row r="251" spans="1:14" x14ac:dyDescent="0.25">
      <c r="A251" t="s">
        <v>167</v>
      </c>
      <c r="B251" s="1">
        <v>45664</v>
      </c>
      <c r="D251" t="s">
        <v>157</v>
      </c>
      <c r="E251" t="s">
        <v>227</v>
      </c>
      <c r="F251" t="s">
        <v>157</v>
      </c>
      <c r="G251" t="s">
        <v>158</v>
      </c>
      <c r="H251" t="s">
        <v>159</v>
      </c>
      <c r="I251">
        <v>4</v>
      </c>
      <c r="J251" t="s">
        <v>160</v>
      </c>
      <c r="K251">
        <v>25</v>
      </c>
      <c r="L251" t="s">
        <v>161</v>
      </c>
      <c r="M251">
        <v>100</v>
      </c>
      <c r="N251" t="s">
        <v>162</v>
      </c>
    </row>
    <row r="252" spans="1:14" x14ac:dyDescent="0.25">
      <c r="A252" t="s">
        <v>168</v>
      </c>
      <c r="B252" s="1">
        <v>45664</v>
      </c>
      <c r="D252" t="s">
        <v>157</v>
      </c>
      <c r="E252" t="s">
        <v>227</v>
      </c>
      <c r="F252" t="s">
        <v>157</v>
      </c>
      <c r="G252" t="s">
        <v>158</v>
      </c>
      <c r="H252" t="s">
        <v>159</v>
      </c>
      <c r="I252">
        <v>4</v>
      </c>
      <c r="J252" t="s">
        <v>160</v>
      </c>
      <c r="K252">
        <v>50</v>
      </c>
      <c r="L252" t="s">
        <v>161</v>
      </c>
      <c r="M252">
        <v>200</v>
      </c>
      <c r="N252" t="s">
        <v>162</v>
      </c>
    </row>
    <row r="253" spans="1:14" x14ac:dyDescent="0.25">
      <c r="A253" t="s">
        <v>163</v>
      </c>
      <c r="B253" s="1">
        <v>45664</v>
      </c>
      <c r="D253" t="s">
        <v>157</v>
      </c>
      <c r="E253" t="s">
        <v>227</v>
      </c>
      <c r="F253" t="s">
        <v>157</v>
      </c>
      <c r="G253" t="s">
        <v>158</v>
      </c>
      <c r="H253" t="s">
        <v>159</v>
      </c>
      <c r="I253">
        <v>4</v>
      </c>
      <c r="J253" t="s">
        <v>160</v>
      </c>
      <c r="K253">
        <v>21</v>
      </c>
      <c r="L253" t="s">
        <v>161</v>
      </c>
      <c r="M253">
        <v>84</v>
      </c>
      <c r="N253" t="s">
        <v>162</v>
      </c>
    </row>
    <row r="254" spans="1:14" x14ac:dyDescent="0.25">
      <c r="A254" t="s">
        <v>156</v>
      </c>
      <c r="B254" s="1">
        <v>45664</v>
      </c>
      <c r="D254" t="s">
        <v>157</v>
      </c>
      <c r="E254" t="s">
        <v>227</v>
      </c>
      <c r="F254" t="s">
        <v>157</v>
      </c>
      <c r="G254" t="s">
        <v>158</v>
      </c>
      <c r="H254" t="s">
        <v>159</v>
      </c>
      <c r="I254">
        <v>4</v>
      </c>
      <c r="J254" t="s">
        <v>160</v>
      </c>
      <c r="K254">
        <v>50</v>
      </c>
      <c r="L254" t="s">
        <v>161</v>
      </c>
      <c r="M254">
        <v>200</v>
      </c>
      <c r="N254" t="s">
        <v>162</v>
      </c>
    </row>
    <row r="255" spans="1:14" x14ac:dyDescent="0.25">
      <c r="A255" t="s">
        <v>156</v>
      </c>
      <c r="B255" s="1">
        <v>45665</v>
      </c>
      <c r="D255" t="s">
        <v>157</v>
      </c>
      <c r="E255" t="s">
        <v>227</v>
      </c>
      <c r="F255" t="s">
        <v>157</v>
      </c>
      <c r="G255" t="s">
        <v>158</v>
      </c>
      <c r="H255" t="s">
        <v>159</v>
      </c>
      <c r="I255">
        <v>4</v>
      </c>
      <c r="J255" t="s">
        <v>160</v>
      </c>
      <c r="K255">
        <v>50</v>
      </c>
      <c r="L255" t="s">
        <v>161</v>
      </c>
      <c r="M255">
        <v>200</v>
      </c>
      <c r="N255" t="s">
        <v>162</v>
      </c>
    </row>
    <row r="256" spans="1:14" x14ac:dyDescent="0.25">
      <c r="A256" t="s">
        <v>156</v>
      </c>
      <c r="B256" s="1">
        <v>45664</v>
      </c>
      <c r="C256" t="s">
        <v>29</v>
      </c>
      <c r="D256" t="s">
        <v>157</v>
      </c>
      <c r="E256" t="s">
        <v>228</v>
      </c>
      <c r="F256" t="s">
        <v>157</v>
      </c>
      <c r="G256" t="s">
        <v>174</v>
      </c>
      <c r="H256" t="s">
        <v>159</v>
      </c>
      <c r="I256">
        <v>1</v>
      </c>
      <c r="J256" t="s">
        <v>160</v>
      </c>
      <c r="K256">
        <v>1</v>
      </c>
      <c r="L256" t="s">
        <v>161</v>
      </c>
      <c r="M256">
        <v>1</v>
      </c>
      <c r="N256" t="s">
        <v>162</v>
      </c>
    </row>
    <row r="257" spans="1:14" x14ac:dyDescent="0.25">
      <c r="A257" t="s">
        <v>156</v>
      </c>
      <c r="B257" s="1">
        <v>45664</v>
      </c>
      <c r="C257" t="s">
        <v>31</v>
      </c>
      <c r="D257" t="s">
        <v>157</v>
      </c>
      <c r="E257" t="s">
        <v>228</v>
      </c>
      <c r="F257" t="s">
        <v>157</v>
      </c>
      <c r="G257" t="s">
        <v>174</v>
      </c>
      <c r="H257" t="s">
        <v>159</v>
      </c>
      <c r="I257">
        <v>1</v>
      </c>
      <c r="J257" t="s">
        <v>160</v>
      </c>
      <c r="K257">
        <v>1</v>
      </c>
      <c r="L257" t="s">
        <v>161</v>
      </c>
      <c r="M257">
        <v>1</v>
      </c>
      <c r="N257" t="s">
        <v>162</v>
      </c>
    </row>
    <row r="258" spans="1:14" x14ac:dyDescent="0.25">
      <c r="A258" t="s">
        <v>156</v>
      </c>
      <c r="B258" s="1">
        <v>45664</v>
      </c>
      <c r="C258" t="s">
        <v>114</v>
      </c>
      <c r="D258" t="s">
        <v>157</v>
      </c>
      <c r="E258" t="s">
        <v>228</v>
      </c>
      <c r="F258" t="s">
        <v>157</v>
      </c>
      <c r="G258" t="s">
        <v>174</v>
      </c>
      <c r="H258" t="s">
        <v>159</v>
      </c>
      <c r="I258">
        <v>1</v>
      </c>
      <c r="J258" t="s">
        <v>160</v>
      </c>
      <c r="K258">
        <v>1</v>
      </c>
      <c r="L258" t="s">
        <v>161</v>
      </c>
      <c r="M258">
        <v>1</v>
      </c>
      <c r="N258" t="s">
        <v>162</v>
      </c>
    </row>
    <row r="259" spans="1:14" x14ac:dyDescent="0.25">
      <c r="A259" t="s">
        <v>156</v>
      </c>
      <c r="B259" s="1">
        <v>45664</v>
      </c>
      <c r="C259" t="s">
        <v>32</v>
      </c>
      <c r="D259" t="s">
        <v>157</v>
      </c>
      <c r="E259" t="s">
        <v>228</v>
      </c>
      <c r="F259" t="s">
        <v>157</v>
      </c>
      <c r="G259" t="s">
        <v>174</v>
      </c>
      <c r="H259" t="s">
        <v>159</v>
      </c>
      <c r="I259">
        <v>1</v>
      </c>
      <c r="J259" t="s">
        <v>160</v>
      </c>
      <c r="K259">
        <v>1</v>
      </c>
      <c r="L259" t="s">
        <v>161</v>
      </c>
      <c r="M259">
        <v>1</v>
      </c>
      <c r="N259" t="s">
        <v>162</v>
      </c>
    </row>
    <row r="260" spans="1:14" x14ac:dyDescent="0.25">
      <c r="A260" t="s">
        <v>156</v>
      </c>
      <c r="B260" s="1">
        <v>45664</v>
      </c>
      <c r="C260" t="s">
        <v>29</v>
      </c>
      <c r="D260" t="s">
        <v>157</v>
      </c>
      <c r="E260" t="s">
        <v>228</v>
      </c>
      <c r="F260" t="s">
        <v>157</v>
      </c>
      <c r="G260" t="s">
        <v>174</v>
      </c>
      <c r="H260" t="s">
        <v>159</v>
      </c>
      <c r="I260">
        <v>1</v>
      </c>
      <c r="J260" t="s">
        <v>160</v>
      </c>
      <c r="K260">
        <v>1</v>
      </c>
      <c r="L260" t="s">
        <v>161</v>
      </c>
      <c r="M260">
        <v>1</v>
      </c>
      <c r="N260" t="s">
        <v>162</v>
      </c>
    </row>
    <row r="261" spans="1:14" x14ac:dyDescent="0.25">
      <c r="A261" t="s">
        <v>156</v>
      </c>
      <c r="B261" s="1">
        <v>45664</v>
      </c>
      <c r="C261" t="s">
        <v>114</v>
      </c>
      <c r="D261" t="s">
        <v>157</v>
      </c>
      <c r="E261" t="s">
        <v>228</v>
      </c>
      <c r="F261" t="s">
        <v>157</v>
      </c>
      <c r="G261" t="s">
        <v>174</v>
      </c>
      <c r="H261" t="s">
        <v>159</v>
      </c>
      <c r="I261">
        <v>1</v>
      </c>
      <c r="J261" t="s">
        <v>160</v>
      </c>
      <c r="K261">
        <v>1</v>
      </c>
      <c r="L261" t="s">
        <v>161</v>
      </c>
      <c r="M261">
        <v>1</v>
      </c>
      <c r="N261" t="s">
        <v>162</v>
      </c>
    </row>
    <row r="262" spans="1:14" x14ac:dyDescent="0.25">
      <c r="A262" t="s">
        <v>156</v>
      </c>
      <c r="B262" s="1">
        <v>45664</v>
      </c>
      <c r="C262" t="s">
        <v>29</v>
      </c>
      <c r="D262" t="s">
        <v>157</v>
      </c>
      <c r="E262" t="s">
        <v>228</v>
      </c>
      <c r="F262" t="s">
        <v>157</v>
      </c>
      <c r="G262" t="s">
        <v>174</v>
      </c>
      <c r="H262" t="s">
        <v>159</v>
      </c>
      <c r="I262">
        <v>1</v>
      </c>
      <c r="J262" t="s">
        <v>160</v>
      </c>
      <c r="K262">
        <v>1</v>
      </c>
      <c r="L262" t="s">
        <v>161</v>
      </c>
      <c r="M262">
        <v>1</v>
      </c>
      <c r="N262" t="s">
        <v>162</v>
      </c>
    </row>
    <row r="263" spans="1:14" x14ac:dyDescent="0.25">
      <c r="A263" t="s">
        <v>156</v>
      </c>
      <c r="B263" s="1">
        <v>45664</v>
      </c>
      <c r="C263" t="s">
        <v>29</v>
      </c>
      <c r="D263" t="s">
        <v>157</v>
      </c>
      <c r="E263" t="s">
        <v>228</v>
      </c>
      <c r="F263" t="s">
        <v>157</v>
      </c>
      <c r="G263" t="s">
        <v>174</v>
      </c>
      <c r="H263" t="s">
        <v>159</v>
      </c>
      <c r="I263">
        <v>1</v>
      </c>
      <c r="J263" t="s">
        <v>160</v>
      </c>
      <c r="K263">
        <v>1</v>
      </c>
      <c r="L263" t="s">
        <v>161</v>
      </c>
      <c r="M263">
        <v>1</v>
      </c>
      <c r="N263" t="s">
        <v>162</v>
      </c>
    </row>
    <row r="264" spans="1:14" x14ac:dyDescent="0.25">
      <c r="A264" t="s">
        <v>164</v>
      </c>
      <c r="B264" s="1">
        <v>45665</v>
      </c>
      <c r="D264" t="s">
        <v>157</v>
      </c>
      <c r="E264" t="s">
        <v>228</v>
      </c>
      <c r="F264" t="s">
        <v>157</v>
      </c>
      <c r="G264" t="s">
        <v>158</v>
      </c>
      <c r="H264" t="s">
        <v>159</v>
      </c>
      <c r="I264">
        <v>1</v>
      </c>
      <c r="J264" t="s">
        <v>160</v>
      </c>
      <c r="K264">
        <v>21</v>
      </c>
      <c r="L264" t="s">
        <v>161</v>
      </c>
      <c r="M264">
        <v>21</v>
      </c>
      <c r="N264" t="s">
        <v>162</v>
      </c>
    </row>
    <row r="265" spans="1:14" x14ac:dyDescent="0.25">
      <c r="A265" t="s">
        <v>156</v>
      </c>
      <c r="B265" s="1">
        <v>45673</v>
      </c>
      <c r="D265" t="s">
        <v>157</v>
      </c>
      <c r="E265" t="s">
        <v>228</v>
      </c>
      <c r="F265" t="s">
        <v>157</v>
      </c>
      <c r="G265" t="s">
        <v>158</v>
      </c>
      <c r="H265" t="s">
        <v>159</v>
      </c>
      <c r="I265">
        <v>1</v>
      </c>
      <c r="J265" t="s">
        <v>160</v>
      </c>
      <c r="K265">
        <v>5</v>
      </c>
      <c r="L265" t="s">
        <v>161</v>
      </c>
      <c r="M265">
        <v>5</v>
      </c>
      <c r="N265" t="s">
        <v>162</v>
      </c>
    </row>
    <row r="266" spans="1:14" x14ac:dyDescent="0.25">
      <c r="A266" t="s">
        <v>168</v>
      </c>
      <c r="B266" s="1">
        <v>45665</v>
      </c>
      <c r="D266" t="s">
        <v>157</v>
      </c>
      <c r="E266" t="s">
        <v>228</v>
      </c>
      <c r="F266" t="s">
        <v>157</v>
      </c>
      <c r="G266" t="s">
        <v>158</v>
      </c>
      <c r="H266" t="s">
        <v>159</v>
      </c>
      <c r="I266">
        <v>1</v>
      </c>
      <c r="J266" t="s">
        <v>160</v>
      </c>
      <c r="K266">
        <v>50</v>
      </c>
      <c r="L266" t="s">
        <v>161</v>
      </c>
      <c r="M266">
        <v>50</v>
      </c>
      <c r="N266" t="s">
        <v>162</v>
      </c>
    </row>
    <row r="267" spans="1:14" x14ac:dyDescent="0.25">
      <c r="A267" t="s">
        <v>163</v>
      </c>
      <c r="B267" s="1">
        <v>45665</v>
      </c>
      <c r="D267" t="s">
        <v>157</v>
      </c>
      <c r="E267" t="s">
        <v>228</v>
      </c>
      <c r="F267" t="s">
        <v>157</v>
      </c>
      <c r="G267" t="s">
        <v>158</v>
      </c>
      <c r="H267" t="s">
        <v>159</v>
      </c>
      <c r="I267">
        <v>1</v>
      </c>
      <c r="J267" t="s">
        <v>160</v>
      </c>
      <c r="K267">
        <v>20</v>
      </c>
      <c r="L267" t="s">
        <v>161</v>
      </c>
      <c r="M267">
        <v>20</v>
      </c>
      <c r="N267" t="s">
        <v>162</v>
      </c>
    </row>
    <row r="268" spans="1:14" x14ac:dyDescent="0.25">
      <c r="A268" t="s">
        <v>165</v>
      </c>
      <c r="B268" s="1">
        <v>45665</v>
      </c>
      <c r="D268" t="s">
        <v>157</v>
      </c>
      <c r="E268" t="s">
        <v>228</v>
      </c>
      <c r="F268" t="s">
        <v>157</v>
      </c>
      <c r="G268" t="s">
        <v>166</v>
      </c>
      <c r="H268" t="s">
        <v>159</v>
      </c>
      <c r="I268">
        <v>1</v>
      </c>
      <c r="J268" t="s">
        <v>160</v>
      </c>
      <c r="K268">
        <v>24</v>
      </c>
      <c r="L268" t="s">
        <v>161</v>
      </c>
      <c r="M268">
        <v>24</v>
      </c>
      <c r="N268" t="s">
        <v>162</v>
      </c>
    </row>
    <row r="269" spans="1:14" x14ac:dyDescent="0.25">
      <c r="A269" t="s">
        <v>167</v>
      </c>
      <c r="B269" s="1">
        <v>45665</v>
      </c>
      <c r="D269" t="s">
        <v>157</v>
      </c>
      <c r="E269" t="s">
        <v>228</v>
      </c>
      <c r="F269" t="s">
        <v>157</v>
      </c>
      <c r="G269" t="s">
        <v>158</v>
      </c>
      <c r="H269" t="s">
        <v>159</v>
      </c>
      <c r="I269">
        <v>1</v>
      </c>
      <c r="J269" t="s">
        <v>160</v>
      </c>
      <c r="K269">
        <v>28</v>
      </c>
      <c r="L269" t="s">
        <v>161</v>
      </c>
      <c r="M269">
        <v>28</v>
      </c>
      <c r="N269" t="s">
        <v>162</v>
      </c>
    </row>
    <row r="270" spans="1:14" x14ac:dyDescent="0.25">
      <c r="A270" t="s">
        <v>156</v>
      </c>
      <c r="B270" s="1">
        <v>45665</v>
      </c>
      <c r="D270" t="s">
        <v>157</v>
      </c>
      <c r="E270" t="s">
        <v>228</v>
      </c>
      <c r="F270" t="s">
        <v>157</v>
      </c>
      <c r="G270" t="s">
        <v>158</v>
      </c>
      <c r="H270" t="s">
        <v>159</v>
      </c>
      <c r="I270">
        <v>1</v>
      </c>
      <c r="J270" t="s">
        <v>160</v>
      </c>
      <c r="K270">
        <v>50</v>
      </c>
      <c r="L270" t="s">
        <v>161</v>
      </c>
      <c r="M270">
        <v>50</v>
      </c>
      <c r="N270" t="s">
        <v>162</v>
      </c>
    </row>
    <row r="271" spans="1:14" x14ac:dyDescent="0.25">
      <c r="A271" t="s">
        <v>164</v>
      </c>
      <c r="B271" s="1">
        <v>45663</v>
      </c>
      <c r="D271" t="s">
        <v>157</v>
      </c>
      <c r="E271" t="s">
        <v>229</v>
      </c>
      <c r="F271" t="s">
        <v>157</v>
      </c>
      <c r="G271" t="s">
        <v>158</v>
      </c>
      <c r="H271" t="s">
        <v>159</v>
      </c>
      <c r="I271" s="4">
        <f>1/6</f>
        <v>0.16666666666666666</v>
      </c>
      <c r="J271" t="s">
        <v>160</v>
      </c>
      <c r="K271">
        <v>23</v>
      </c>
      <c r="L271" t="s">
        <v>161</v>
      </c>
      <c r="M271" s="2">
        <v>3.833333333333333</v>
      </c>
      <c r="N271" t="s">
        <v>162</v>
      </c>
    </row>
    <row r="272" spans="1:14" x14ac:dyDescent="0.25">
      <c r="A272" t="s">
        <v>168</v>
      </c>
      <c r="B272" s="1">
        <v>45663</v>
      </c>
      <c r="D272" t="s">
        <v>157</v>
      </c>
      <c r="E272" t="s">
        <v>229</v>
      </c>
      <c r="F272" t="s">
        <v>157</v>
      </c>
      <c r="G272" t="s">
        <v>158</v>
      </c>
      <c r="H272" t="s">
        <v>159</v>
      </c>
      <c r="I272" s="4">
        <f>1/6</f>
        <v>0.16666666666666666</v>
      </c>
      <c r="J272" t="s">
        <v>160</v>
      </c>
      <c r="K272">
        <v>51</v>
      </c>
      <c r="L272" t="s">
        <v>161</v>
      </c>
      <c r="M272" s="2">
        <v>8.5</v>
      </c>
      <c r="N272" t="s">
        <v>162</v>
      </c>
    </row>
    <row r="273" spans="1:14" x14ac:dyDescent="0.25">
      <c r="A273" t="s">
        <v>156</v>
      </c>
      <c r="B273" s="1">
        <v>45671</v>
      </c>
      <c r="D273" t="s">
        <v>157</v>
      </c>
      <c r="E273" t="s">
        <v>229</v>
      </c>
      <c r="F273" t="s">
        <v>157</v>
      </c>
      <c r="G273" t="s">
        <v>158</v>
      </c>
      <c r="H273" t="s">
        <v>159</v>
      </c>
      <c r="I273" s="4">
        <v>0.16666666666666666</v>
      </c>
      <c r="J273" t="s">
        <v>160</v>
      </c>
      <c r="K273">
        <v>6</v>
      </c>
      <c r="L273" t="s">
        <v>161</v>
      </c>
      <c r="M273">
        <v>1</v>
      </c>
      <c r="N273" t="s">
        <v>162</v>
      </c>
    </row>
    <row r="274" spans="1:14" x14ac:dyDescent="0.25">
      <c r="A274" t="s">
        <v>167</v>
      </c>
      <c r="B274" s="1">
        <v>45663</v>
      </c>
      <c r="D274" t="s">
        <v>157</v>
      </c>
      <c r="E274" t="s">
        <v>229</v>
      </c>
      <c r="F274" t="s">
        <v>157</v>
      </c>
      <c r="G274" t="s">
        <v>158</v>
      </c>
      <c r="H274" t="s">
        <v>159</v>
      </c>
      <c r="I274" s="4">
        <f>1/6</f>
        <v>0.16666666666666666</v>
      </c>
      <c r="J274" t="s">
        <v>160</v>
      </c>
      <c r="K274">
        <v>27</v>
      </c>
      <c r="L274" t="s">
        <v>161</v>
      </c>
      <c r="M274" s="2">
        <v>4.5</v>
      </c>
      <c r="N274" t="s">
        <v>162</v>
      </c>
    </row>
    <row r="275" spans="1:14" x14ac:dyDescent="0.25">
      <c r="A275" t="s">
        <v>163</v>
      </c>
      <c r="B275" s="1">
        <v>45663</v>
      </c>
      <c r="D275" t="s">
        <v>157</v>
      </c>
      <c r="E275" t="s">
        <v>229</v>
      </c>
      <c r="F275" t="s">
        <v>157</v>
      </c>
      <c r="G275" t="s">
        <v>158</v>
      </c>
      <c r="H275" t="s">
        <v>159</v>
      </c>
      <c r="I275" s="4">
        <f>1/6</f>
        <v>0.16666666666666666</v>
      </c>
      <c r="J275" t="s">
        <v>160</v>
      </c>
      <c r="K275">
        <v>18</v>
      </c>
      <c r="L275" t="s">
        <v>161</v>
      </c>
      <c r="M275">
        <v>3</v>
      </c>
      <c r="N275" t="s">
        <v>162</v>
      </c>
    </row>
    <row r="276" spans="1:14" x14ac:dyDescent="0.25">
      <c r="A276" t="s">
        <v>156</v>
      </c>
      <c r="B276" s="1">
        <v>45663</v>
      </c>
      <c r="D276" t="s">
        <v>157</v>
      </c>
      <c r="E276" t="s">
        <v>229</v>
      </c>
      <c r="F276" t="s">
        <v>157</v>
      </c>
      <c r="G276" t="s">
        <v>158</v>
      </c>
      <c r="H276" t="s">
        <v>159</v>
      </c>
      <c r="I276" s="4">
        <v>0.16666666666666666</v>
      </c>
      <c r="J276" t="s">
        <v>160</v>
      </c>
      <c r="K276">
        <v>50</v>
      </c>
      <c r="L276" t="s">
        <v>161</v>
      </c>
      <c r="M276">
        <v>9</v>
      </c>
      <c r="N276" t="s">
        <v>162</v>
      </c>
    </row>
    <row r="277" spans="1:14" x14ac:dyDescent="0.25">
      <c r="A277" t="s">
        <v>163</v>
      </c>
      <c r="B277" s="1">
        <v>45662</v>
      </c>
      <c r="C277" t="s">
        <v>135</v>
      </c>
      <c r="D277" t="s">
        <v>157</v>
      </c>
      <c r="E277" t="s">
        <v>230</v>
      </c>
      <c r="F277" t="s">
        <v>157</v>
      </c>
      <c r="G277" t="s">
        <v>174</v>
      </c>
      <c r="H277" t="s">
        <v>159</v>
      </c>
      <c r="I277">
        <v>120</v>
      </c>
      <c r="J277" t="s">
        <v>160</v>
      </c>
      <c r="K277">
        <v>1</v>
      </c>
      <c r="L277" t="s">
        <v>161</v>
      </c>
      <c r="M277">
        <v>120</v>
      </c>
      <c r="N277" t="s">
        <v>162</v>
      </c>
    </row>
    <row r="278" spans="1:14" x14ac:dyDescent="0.25">
      <c r="A278" t="s">
        <v>167</v>
      </c>
      <c r="B278" s="1">
        <v>45662</v>
      </c>
      <c r="C278" t="s">
        <v>182</v>
      </c>
      <c r="D278" t="s">
        <v>157</v>
      </c>
      <c r="E278" t="s">
        <v>230</v>
      </c>
      <c r="F278" t="s">
        <v>157</v>
      </c>
      <c r="G278" t="s">
        <v>174</v>
      </c>
      <c r="H278" t="s">
        <v>159</v>
      </c>
      <c r="I278">
        <v>120</v>
      </c>
      <c r="J278" t="s">
        <v>160</v>
      </c>
      <c r="K278">
        <v>1</v>
      </c>
      <c r="L278" t="s">
        <v>161</v>
      </c>
      <c r="M278">
        <v>120</v>
      </c>
      <c r="N278" t="s">
        <v>162</v>
      </c>
    </row>
    <row r="279" spans="1:14" x14ac:dyDescent="0.25">
      <c r="A279" t="s">
        <v>164</v>
      </c>
      <c r="B279" s="1">
        <v>45662</v>
      </c>
      <c r="D279" t="s">
        <v>157</v>
      </c>
      <c r="E279" t="s">
        <v>231</v>
      </c>
      <c r="F279" t="s">
        <v>157</v>
      </c>
      <c r="G279" t="s">
        <v>158</v>
      </c>
      <c r="H279" t="s">
        <v>159</v>
      </c>
      <c r="I279">
        <v>120</v>
      </c>
      <c r="J279" t="s">
        <v>160</v>
      </c>
      <c r="K279">
        <v>18</v>
      </c>
      <c r="L279" t="s">
        <v>161</v>
      </c>
      <c r="M279">
        <v>2160</v>
      </c>
      <c r="N279" t="s">
        <v>162</v>
      </c>
    </row>
    <row r="280" spans="1:14" x14ac:dyDescent="0.25">
      <c r="A280" t="s">
        <v>168</v>
      </c>
      <c r="B280" s="1">
        <v>45662</v>
      </c>
      <c r="D280" t="s">
        <v>157</v>
      </c>
      <c r="E280" t="s">
        <v>231</v>
      </c>
      <c r="F280" t="s">
        <v>157</v>
      </c>
      <c r="G280" t="s">
        <v>158</v>
      </c>
      <c r="H280" t="s">
        <v>159</v>
      </c>
      <c r="I280">
        <v>120</v>
      </c>
      <c r="J280" t="s">
        <v>160</v>
      </c>
      <c r="K280">
        <v>28</v>
      </c>
      <c r="L280" t="s">
        <v>161</v>
      </c>
      <c r="M280">
        <v>3360</v>
      </c>
      <c r="N280" t="s">
        <v>162</v>
      </c>
    </row>
    <row r="281" spans="1:14" x14ac:dyDescent="0.25">
      <c r="A281" t="s">
        <v>156</v>
      </c>
      <c r="B281" s="1">
        <v>45670</v>
      </c>
      <c r="D281" t="s">
        <v>157</v>
      </c>
      <c r="E281" t="s">
        <v>231</v>
      </c>
      <c r="F281" t="s">
        <v>157</v>
      </c>
      <c r="G281" t="s">
        <v>158</v>
      </c>
      <c r="H281" t="s">
        <v>159</v>
      </c>
      <c r="I281">
        <v>120</v>
      </c>
      <c r="J281" t="s">
        <v>160</v>
      </c>
      <c r="K281">
        <v>5</v>
      </c>
      <c r="L281" t="s">
        <v>161</v>
      </c>
      <c r="M281">
        <v>600</v>
      </c>
      <c r="N281" t="s">
        <v>162</v>
      </c>
    </row>
    <row r="282" spans="1:14" x14ac:dyDescent="0.25">
      <c r="A282" t="s">
        <v>163</v>
      </c>
      <c r="B282" s="1">
        <v>45662</v>
      </c>
      <c r="D282" t="s">
        <v>157</v>
      </c>
      <c r="E282" t="s">
        <v>231</v>
      </c>
      <c r="F282" t="s">
        <v>157</v>
      </c>
      <c r="G282" t="s">
        <v>158</v>
      </c>
      <c r="H282" t="s">
        <v>159</v>
      </c>
      <c r="I282">
        <v>120</v>
      </c>
      <c r="J282" t="s">
        <v>160</v>
      </c>
      <c r="K282">
        <v>18</v>
      </c>
      <c r="L282" t="s">
        <v>161</v>
      </c>
      <c r="M282">
        <v>2160</v>
      </c>
      <c r="N282" t="s">
        <v>162</v>
      </c>
    </row>
    <row r="283" spans="1:14" x14ac:dyDescent="0.25">
      <c r="A283" t="s">
        <v>167</v>
      </c>
      <c r="B283" s="1">
        <v>45662</v>
      </c>
      <c r="D283" t="s">
        <v>157</v>
      </c>
      <c r="E283" t="s">
        <v>231</v>
      </c>
      <c r="F283" t="s">
        <v>157</v>
      </c>
      <c r="G283" t="s">
        <v>158</v>
      </c>
      <c r="H283" t="s">
        <v>159</v>
      </c>
      <c r="I283">
        <v>120</v>
      </c>
      <c r="J283" t="s">
        <v>160</v>
      </c>
      <c r="K283">
        <v>25</v>
      </c>
      <c r="L283" t="s">
        <v>161</v>
      </c>
      <c r="M283">
        <v>3000</v>
      </c>
      <c r="N283" t="s">
        <v>162</v>
      </c>
    </row>
    <row r="284" spans="1:14" x14ac:dyDescent="0.25">
      <c r="A284" t="s">
        <v>156</v>
      </c>
      <c r="B284" s="1">
        <v>45662</v>
      </c>
      <c r="D284" t="s">
        <v>157</v>
      </c>
      <c r="E284" t="s">
        <v>231</v>
      </c>
      <c r="F284" t="s">
        <v>157</v>
      </c>
      <c r="G284" t="s">
        <v>158</v>
      </c>
      <c r="H284" t="s">
        <v>159</v>
      </c>
      <c r="I284">
        <v>120</v>
      </c>
      <c r="J284" t="s">
        <v>160</v>
      </c>
      <c r="K284">
        <v>49</v>
      </c>
      <c r="L284" t="s">
        <v>161</v>
      </c>
      <c r="M284">
        <v>5880</v>
      </c>
      <c r="N284" t="s">
        <v>162</v>
      </c>
    </row>
    <row r="285" spans="1:14" x14ac:dyDescent="0.25">
      <c r="A285" t="s">
        <v>165</v>
      </c>
      <c r="B285" s="1">
        <v>45665</v>
      </c>
      <c r="D285" t="s">
        <v>157</v>
      </c>
      <c r="E285" t="s">
        <v>232</v>
      </c>
      <c r="F285" t="s">
        <v>157</v>
      </c>
      <c r="G285" t="s">
        <v>158</v>
      </c>
      <c r="H285" t="s">
        <v>159</v>
      </c>
      <c r="I285">
        <v>1</v>
      </c>
      <c r="J285" t="s">
        <v>160</v>
      </c>
      <c r="K285">
        <v>24</v>
      </c>
      <c r="L285" t="s">
        <v>161</v>
      </c>
      <c r="M285">
        <v>24</v>
      </c>
      <c r="N285" t="s">
        <v>162</v>
      </c>
    </row>
    <row r="286" spans="1:14" x14ac:dyDescent="0.25">
      <c r="A286" t="s">
        <v>167</v>
      </c>
      <c r="B286" s="1">
        <v>45662</v>
      </c>
      <c r="C286" t="s">
        <v>182</v>
      </c>
      <c r="D286" t="s">
        <v>157</v>
      </c>
      <c r="E286" t="s">
        <v>233</v>
      </c>
      <c r="F286" t="s">
        <v>157</v>
      </c>
      <c r="G286" t="s">
        <v>174</v>
      </c>
      <c r="H286" t="s">
        <v>159</v>
      </c>
      <c r="I286">
        <v>50</v>
      </c>
      <c r="J286" t="s">
        <v>160</v>
      </c>
      <c r="K286">
        <v>1</v>
      </c>
      <c r="L286" t="s">
        <v>161</v>
      </c>
      <c r="M286">
        <v>50</v>
      </c>
      <c r="N286" t="s">
        <v>162</v>
      </c>
    </row>
    <row r="287" spans="1:14" x14ac:dyDescent="0.25">
      <c r="A287" t="s">
        <v>163</v>
      </c>
      <c r="B287" s="1">
        <v>45662</v>
      </c>
      <c r="C287" t="s">
        <v>135</v>
      </c>
      <c r="D287" t="s">
        <v>157</v>
      </c>
      <c r="E287" t="s">
        <v>233</v>
      </c>
      <c r="F287" t="s">
        <v>157</v>
      </c>
      <c r="G287" t="s">
        <v>174</v>
      </c>
      <c r="H287" t="s">
        <v>159</v>
      </c>
      <c r="I287">
        <v>50</v>
      </c>
      <c r="J287" t="s">
        <v>160</v>
      </c>
      <c r="K287">
        <v>1</v>
      </c>
      <c r="L287" t="s">
        <v>161</v>
      </c>
      <c r="M287">
        <v>50</v>
      </c>
      <c r="N287" t="s">
        <v>162</v>
      </c>
    </row>
    <row r="288" spans="1:14" x14ac:dyDescent="0.25">
      <c r="A288" t="s">
        <v>164</v>
      </c>
      <c r="B288" s="1">
        <v>45663</v>
      </c>
      <c r="C288" t="s">
        <v>137</v>
      </c>
      <c r="D288" t="s">
        <v>157</v>
      </c>
      <c r="E288" t="s">
        <v>234</v>
      </c>
      <c r="F288" t="s">
        <v>157</v>
      </c>
      <c r="G288" t="s">
        <v>174</v>
      </c>
      <c r="H288" t="s">
        <v>159</v>
      </c>
      <c r="I288">
        <v>1</v>
      </c>
      <c r="J288" t="s">
        <v>160</v>
      </c>
      <c r="K288">
        <v>1</v>
      </c>
      <c r="L288" t="s">
        <v>161</v>
      </c>
      <c r="M288">
        <v>1</v>
      </c>
      <c r="N288" t="s">
        <v>162</v>
      </c>
    </row>
    <row r="289" spans="1:14" x14ac:dyDescent="0.25">
      <c r="A289" t="s">
        <v>164</v>
      </c>
      <c r="B289" s="1">
        <v>45663</v>
      </c>
      <c r="C289" t="s">
        <v>235</v>
      </c>
      <c r="D289" t="s">
        <v>157</v>
      </c>
      <c r="E289" t="s">
        <v>234</v>
      </c>
      <c r="F289" t="s">
        <v>157</v>
      </c>
      <c r="G289" t="s">
        <v>174</v>
      </c>
      <c r="H289" t="s">
        <v>159</v>
      </c>
      <c r="I289">
        <v>1</v>
      </c>
      <c r="J289" t="s">
        <v>160</v>
      </c>
      <c r="K289">
        <v>1</v>
      </c>
      <c r="L289" t="s">
        <v>161</v>
      </c>
      <c r="M289">
        <v>1</v>
      </c>
      <c r="N289" t="s">
        <v>162</v>
      </c>
    </row>
    <row r="290" spans="1:14" x14ac:dyDescent="0.25">
      <c r="A290" t="s">
        <v>164</v>
      </c>
      <c r="B290" s="1">
        <v>45663</v>
      </c>
      <c r="C290" t="s">
        <v>108</v>
      </c>
      <c r="D290" t="s">
        <v>157</v>
      </c>
      <c r="E290" t="s">
        <v>234</v>
      </c>
      <c r="F290" t="s">
        <v>157</v>
      </c>
      <c r="G290" t="s">
        <v>174</v>
      </c>
      <c r="H290" t="s">
        <v>159</v>
      </c>
      <c r="I290">
        <v>1</v>
      </c>
      <c r="J290" t="s">
        <v>160</v>
      </c>
      <c r="K290">
        <v>1</v>
      </c>
      <c r="L290" t="s">
        <v>161</v>
      </c>
      <c r="M290">
        <v>1</v>
      </c>
      <c r="N290" t="s">
        <v>162</v>
      </c>
    </row>
    <row r="291" spans="1:14" x14ac:dyDescent="0.25">
      <c r="A291" t="s">
        <v>168</v>
      </c>
      <c r="B291" s="1">
        <v>45663</v>
      </c>
      <c r="C291" t="s">
        <v>110</v>
      </c>
      <c r="D291" t="s">
        <v>157</v>
      </c>
      <c r="E291" t="s">
        <v>234</v>
      </c>
      <c r="F291" t="s">
        <v>157</v>
      </c>
      <c r="G291" t="s">
        <v>174</v>
      </c>
      <c r="H291" t="s">
        <v>159</v>
      </c>
      <c r="I291">
        <v>1</v>
      </c>
      <c r="J291" t="s">
        <v>160</v>
      </c>
      <c r="K291">
        <v>1</v>
      </c>
      <c r="L291" t="s">
        <v>161</v>
      </c>
      <c r="M291">
        <v>1</v>
      </c>
      <c r="N291" t="s">
        <v>162</v>
      </c>
    </row>
    <row r="292" spans="1:14" x14ac:dyDescent="0.25">
      <c r="A292" t="s">
        <v>168</v>
      </c>
      <c r="B292" s="1">
        <v>45663</v>
      </c>
      <c r="C292" t="s">
        <v>110</v>
      </c>
      <c r="D292" t="s">
        <v>157</v>
      </c>
      <c r="E292" t="s">
        <v>234</v>
      </c>
      <c r="F292" t="s">
        <v>157</v>
      </c>
      <c r="G292" t="s">
        <v>174</v>
      </c>
      <c r="H292" t="s">
        <v>159</v>
      </c>
      <c r="I292">
        <v>1</v>
      </c>
      <c r="J292" t="s">
        <v>160</v>
      </c>
      <c r="K292">
        <v>1</v>
      </c>
      <c r="L292" t="s">
        <v>161</v>
      </c>
      <c r="M292">
        <v>1</v>
      </c>
      <c r="N292" t="s">
        <v>162</v>
      </c>
    </row>
    <row r="293" spans="1:14" x14ac:dyDescent="0.25">
      <c r="A293" t="s">
        <v>167</v>
      </c>
      <c r="B293" s="1">
        <v>45663</v>
      </c>
      <c r="C293" t="s">
        <v>236</v>
      </c>
      <c r="D293" t="s">
        <v>157</v>
      </c>
      <c r="E293" t="s">
        <v>234</v>
      </c>
      <c r="F293" t="s">
        <v>157</v>
      </c>
      <c r="G293" t="s">
        <v>174</v>
      </c>
      <c r="H293" t="s">
        <v>159</v>
      </c>
      <c r="I293">
        <v>1</v>
      </c>
      <c r="J293" t="s">
        <v>160</v>
      </c>
      <c r="K293">
        <v>1</v>
      </c>
      <c r="L293" t="s">
        <v>161</v>
      </c>
      <c r="M293">
        <v>1</v>
      </c>
      <c r="N293" t="s">
        <v>162</v>
      </c>
    </row>
    <row r="294" spans="1:14" x14ac:dyDescent="0.25">
      <c r="A294" t="s">
        <v>167</v>
      </c>
      <c r="B294" s="1">
        <v>45663</v>
      </c>
      <c r="C294" t="s">
        <v>175</v>
      </c>
      <c r="D294" t="s">
        <v>157</v>
      </c>
      <c r="E294" t="s">
        <v>234</v>
      </c>
      <c r="F294" t="s">
        <v>157</v>
      </c>
      <c r="G294" t="s">
        <v>174</v>
      </c>
      <c r="H294" t="s">
        <v>159</v>
      </c>
      <c r="I294">
        <v>1</v>
      </c>
      <c r="J294" t="s">
        <v>160</v>
      </c>
      <c r="K294">
        <v>1</v>
      </c>
      <c r="L294" t="s">
        <v>161</v>
      </c>
      <c r="M294">
        <v>1</v>
      </c>
      <c r="N294" t="s">
        <v>162</v>
      </c>
    </row>
    <row r="295" spans="1:14" x14ac:dyDescent="0.25">
      <c r="A295" t="s">
        <v>167</v>
      </c>
      <c r="B295" s="1">
        <v>45663</v>
      </c>
      <c r="C295" t="s">
        <v>237</v>
      </c>
      <c r="D295" t="s">
        <v>157</v>
      </c>
      <c r="E295" t="s">
        <v>234</v>
      </c>
      <c r="F295" t="s">
        <v>157</v>
      </c>
      <c r="G295" t="s">
        <v>174</v>
      </c>
      <c r="H295" t="s">
        <v>159</v>
      </c>
      <c r="I295">
        <v>1</v>
      </c>
      <c r="J295" t="s">
        <v>160</v>
      </c>
      <c r="K295">
        <v>1</v>
      </c>
      <c r="L295" t="s">
        <v>161</v>
      </c>
      <c r="M295">
        <v>1</v>
      </c>
      <c r="N295" t="s">
        <v>162</v>
      </c>
    </row>
    <row r="296" spans="1:14" x14ac:dyDescent="0.25">
      <c r="A296" t="s">
        <v>156</v>
      </c>
      <c r="B296" s="1">
        <v>45662</v>
      </c>
      <c r="C296" t="s">
        <v>212</v>
      </c>
      <c r="D296" t="s">
        <v>157</v>
      </c>
      <c r="E296" t="s">
        <v>238</v>
      </c>
      <c r="F296" t="s">
        <v>157</v>
      </c>
      <c r="G296" t="s">
        <v>158</v>
      </c>
      <c r="H296" t="s">
        <v>159</v>
      </c>
      <c r="I296">
        <v>120</v>
      </c>
      <c r="J296" t="s">
        <v>160</v>
      </c>
      <c r="K296">
        <v>1</v>
      </c>
      <c r="L296" t="s">
        <v>161</v>
      </c>
      <c r="M296">
        <v>120</v>
      </c>
      <c r="N296" t="s">
        <v>162</v>
      </c>
    </row>
    <row r="297" spans="1:14" x14ac:dyDescent="0.25">
      <c r="A297" t="s">
        <v>164</v>
      </c>
      <c r="B297" s="1">
        <v>45662</v>
      </c>
      <c r="C297" t="s">
        <v>175</v>
      </c>
      <c r="D297" t="s">
        <v>157</v>
      </c>
      <c r="E297" t="s">
        <v>238</v>
      </c>
      <c r="F297" t="s">
        <v>157</v>
      </c>
      <c r="G297" t="s">
        <v>174</v>
      </c>
      <c r="H297" t="s">
        <v>159</v>
      </c>
      <c r="I297">
        <v>120</v>
      </c>
      <c r="J297" t="s">
        <v>160</v>
      </c>
      <c r="K297">
        <v>1</v>
      </c>
      <c r="L297" t="s">
        <v>161</v>
      </c>
      <c r="M297">
        <v>120</v>
      </c>
      <c r="N297" t="s">
        <v>162</v>
      </c>
    </row>
    <row r="298" spans="1:14" x14ac:dyDescent="0.25">
      <c r="A298" t="s">
        <v>164</v>
      </c>
      <c r="B298" s="1">
        <v>45662</v>
      </c>
      <c r="C298" t="s">
        <v>235</v>
      </c>
      <c r="D298" t="s">
        <v>157</v>
      </c>
      <c r="E298" t="s">
        <v>238</v>
      </c>
      <c r="F298" t="s">
        <v>157</v>
      </c>
      <c r="G298" t="s">
        <v>174</v>
      </c>
      <c r="H298" t="s">
        <v>159</v>
      </c>
      <c r="I298">
        <v>120</v>
      </c>
      <c r="J298" t="s">
        <v>160</v>
      </c>
      <c r="K298">
        <v>1</v>
      </c>
      <c r="L298" t="s">
        <v>161</v>
      </c>
      <c r="M298">
        <v>120</v>
      </c>
      <c r="N298" t="s">
        <v>162</v>
      </c>
    </row>
    <row r="299" spans="1:14" x14ac:dyDescent="0.25">
      <c r="A299" t="s">
        <v>168</v>
      </c>
      <c r="B299" s="1">
        <v>45662</v>
      </c>
      <c r="C299" t="s">
        <v>109</v>
      </c>
      <c r="D299" t="s">
        <v>157</v>
      </c>
      <c r="E299" t="s">
        <v>238</v>
      </c>
      <c r="F299" t="s">
        <v>157</v>
      </c>
      <c r="G299" t="s">
        <v>174</v>
      </c>
      <c r="H299" t="s">
        <v>159</v>
      </c>
      <c r="I299">
        <v>120</v>
      </c>
      <c r="J299" t="s">
        <v>160</v>
      </c>
      <c r="K299">
        <v>1</v>
      </c>
      <c r="L299" t="s">
        <v>161</v>
      </c>
      <c r="M299">
        <v>120</v>
      </c>
      <c r="N299" t="s">
        <v>162</v>
      </c>
    </row>
    <row r="300" spans="1:14" x14ac:dyDescent="0.25">
      <c r="A300" t="s">
        <v>168</v>
      </c>
      <c r="B300" s="1">
        <v>45662</v>
      </c>
      <c r="C300" t="s">
        <v>110</v>
      </c>
      <c r="D300" t="s">
        <v>157</v>
      </c>
      <c r="E300" t="s">
        <v>238</v>
      </c>
      <c r="F300" t="s">
        <v>157</v>
      </c>
      <c r="G300" t="s">
        <v>174</v>
      </c>
      <c r="H300" t="s">
        <v>159</v>
      </c>
      <c r="I300">
        <v>120</v>
      </c>
      <c r="J300" t="s">
        <v>160</v>
      </c>
      <c r="K300">
        <v>1</v>
      </c>
      <c r="L300" t="s">
        <v>161</v>
      </c>
      <c r="M300">
        <v>120</v>
      </c>
      <c r="N300" t="s">
        <v>162</v>
      </c>
    </row>
    <row r="301" spans="1:14" x14ac:dyDescent="0.25">
      <c r="A301" t="s">
        <v>165</v>
      </c>
      <c r="B301" s="1">
        <v>45667</v>
      </c>
      <c r="D301" t="s">
        <v>157</v>
      </c>
      <c r="E301" t="s">
        <v>239</v>
      </c>
      <c r="F301" t="s">
        <v>157</v>
      </c>
      <c r="G301" t="s">
        <v>166</v>
      </c>
      <c r="H301" t="s">
        <v>159</v>
      </c>
      <c r="I301">
        <v>1</v>
      </c>
      <c r="J301" t="s">
        <v>160</v>
      </c>
      <c r="K301">
        <v>24</v>
      </c>
      <c r="L301" t="s">
        <v>161</v>
      </c>
      <c r="M301">
        <v>24</v>
      </c>
      <c r="N301" t="s">
        <v>162</v>
      </c>
    </row>
    <row r="302" spans="1:14" x14ac:dyDescent="0.25">
      <c r="A302" t="s">
        <v>165</v>
      </c>
      <c r="B302" s="1">
        <v>45663</v>
      </c>
      <c r="D302" t="s">
        <v>157</v>
      </c>
      <c r="E302" t="s">
        <v>240</v>
      </c>
      <c r="F302" t="s">
        <v>157</v>
      </c>
      <c r="G302" t="s">
        <v>166</v>
      </c>
      <c r="H302" t="s">
        <v>159</v>
      </c>
      <c r="I302">
        <v>1</v>
      </c>
      <c r="J302" t="s">
        <v>160</v>
      </c>
      <c r="K302">
        <v>24</v>
      </c>
      <c r="L302" t="s">
        <v>161</v>
      </c>
      <c r="M302">
        <v>24</v>
      </c>
      <c r="N302" t="s">
        <v>162</v>
      </c>
    </row>
    <row r="303" spans="1:14" x14ac:dyDescent="0.25">
      <c r="A303" t="s">
        <v>156</v>
      </c>
      <c r="B303" s="1">
        <v>45667</v>
      </c>
      <c r="D303" t="s">
        <v>157</v>
      </c>
      <c r="E303" t="s">
        <v>241</v>
      </c>
      <c r="F303" t="s">
        <v>157</v>
      </c>
      <c r="G303" t="s">
        <v>158</v>
      </c>
      <c r="H303" t="s">
        <v>159</v>
      </c>
      <c r="I303">
        <v>1</v>
      </c>
      <c r="J303" t="s">
        <v>160</v>
      </c>
      <c r="K303">
        <v>12</v>
      </c>
      <c r="L303" t="s">
        <v>161</v>
      </c>
      <c r="M303">
        <v>12</v>
      </c>
      <c r="N303" t="s">
        <v>162</v>
      </c>
    </row>
    <row r="304" spans="1:14" x14ac:dyDescent="0.25">
      <c r="A304" t="s">
        <v>156</v>
      </c>
      <c r="B304" s="1">
        <v>45666</v>
      </c>
      <c r="D304" t="s">
        <v>157</v>
      </c>
      <c r="E304" t="s">
        <v>241</v>
      </c>
      <c r="F304" t="s">
        <v>157</v>
      </c>
      <c r="G304" t="s">
        <v>158</v>
      </c>
      <c r="H304" t="s">
        <v>159</v>
      </c>
      <c r="I304">
        <v>1</v>
      </c>
      <c r="J304" t="s">
        <v>160</v>
      </c>
      <c r="K304">
        <v>49</v>
      </c>
      <c r="L304" t="s">
        <v>161</v>
      </c>
      <c r="M304">
        <v>49</v>
      </c>
      <c r="N304" t="s">
        <v>162</v>
      </c>
    </row>
    <row r="305" spans="1:14" x14ac:dyDescent="0.25">
      <c r="A305" t="s">
        <v>165</v>
      </c>
      <c r="B305" s="1">
        <v>45664</v>
      </c>
      <c r="D305" t="s">
        <v>157</v>
      </c>
      <c r="E305" t="s">
        <v>242</v>
      </c>
      <c r="F305" t="s">
        <v>157</v>
      </c>
      <c r="G305" t="s">
        <v>158</v>
      </c>
      <c r="H305" t="s">
        <v>159</v>
      </c>
      <c r="I305">
        <v>1</v>
      </c>
      <c r="J305" t="s">
        <v>160</v>
      </c>
      <c r="K305">
        <v>24</v>
      </c>
      <c r="L305" t="s">
        <v>161</v>
      </c>
      <c r="M305">
        <v>24</v>
      </c>
      <c r="N305" t="s">
        <v>162</v>
      </c>
    </row>
    <row r="306" spans="1:14" x14ac:dyDescent="0.25">
      <c r="A306" t="s">
        <v>165</v>
      </c>
      <c r="B306" s="1">
        <v>45662</v>
      </c>
      <c r="D306" t="s">
        <v>157</v>
      </c>
      <c r="E306" t="s">
        <v>243</v>
      </c>
      <c r="F306" t="s">
        <v>157</v>
      </c>
      <c r="G306" t="s">
        <v>166</v>
      </c>
      <c r="H306" t="s">
        <v>159</v>
      </c>
      <c r="I306">
        <v>1</v>
      </c>
      <c r="J306" t="s">
        <v>160</v>
      </c>
      <c r="K306">
        <v>24</v>
      </c>
      <c r="L306" t="s">
        <v>161</v>
      </c>
      <c r="M306">
        <v>24</v>
      </c>
      <c r="N306" t="s">
        <v>162</v>
      </c>
    </row>
    <row r="307" spans="1:14" x14ac:dyDescent="0.25">
      <c r="A307" t="s">
        <v>165</v>
      </c>
      <c r="B307" s="1">
        <v>45662</v>
      </c>
      <c r="D307" t="s">
        <v>157</v>
      </c>
      <c r="E307" t="s">
        <v>244</v>
      </c>
      <c r="F307" t="s">
        <v>157</v>
      </c>
      <c r="G307" t="s">
        <v>166</v>
      </c>
      <c r="H307" t="s">
        <v>159</v>
      </c>
      <c r="I307">
        <v>1</v>
      </c>
      <c r="J307" t="s">
        <v>160</v>
      </c>
      <c r="K307">
        <v>24</v>
      </c>
      <c r="L307" t="s">
        <v>161</v>
      </c>
      <c r="M307">
        <v>24</v>
      </c>
      <c r="N307" t="s">
        <v>162</v>
      </c>
    </row>
    <row r="308" spans="1:14" x14ac:dyDescent="0.25">
      <c r="A308" t="s">
        <v>165</v>
      </c>
      <c r="B308" s="1">
        <v>45664</v>
      </c>
      <c r="D308" t="s">
        <v>157</v>
      </c>
      <c r="E308" t="s">
        <v>244</v>
      </c>
      <c r="F308" t="s">
        <v>157</v>
      </c>
      <c r="G308" t="s">
        <v>166</v>
      </c>
      <c r="H308" t="s">
        <v>159</v>
      </c>
      <c r="I308">
        <v>1</v>
      </c>
      <c r="J308" t="s">
        <v>160</v>
      </c>
      <c r="K308">
        <v>24</v>
      </c>
      <c r="L308" t="s">
        <v>161</v>
      </c>
      <c r="M308">
        <v>24</v>
      </c>
      <c r="N308" t="s">
        <v>162</v>
      </c>
    </row>
    <row r="309" spans="1:14" x14ac:dyDescent="0.25">
      <c r="A309" t="s">
        <v>165</v>
      </c>
      <c r="B309" s="1">
        <v>45668</v>
      </c>
      <c r="D309" t="s">
        <v>157</v>
      </c>
      <c r="E309" t="s">
        <v>244</v>
      </c>
      <c r="F309" t="s">
        <v>157</v>
      </c>
      <c r="G309" t="s">
        <v>166</v>
      </c>
      <c r="H309" t="s">
        <v>159</v>
      </c>
      <c r="I309">
        <v>1</v>
      </c>
      <c r="J309" t="s">
        <v>160</v>
      </c>
      <c r="K309">
        <v>24</v>
      </c>
      <c r="L309" t="s">
        <v>161</v>
      </c>
      <c r="M309">
        <v>24</v>
      </c>
      <c r="N309" t="s">
        <v>162</v>
      </c>
    </row>
    <row r="310" spans="1:14" x14ac:dyDescent="0.25">
      <c r="A310" t="s">
        <v>156</v>
      </c>
      <c r="B310" s="1">
        <v>45663</v>
      </c>
      <c r="D310" t="s">
        <v>157</v>
      </c>
      <c r="E310" t="s">
        <v>244</v>
      </c>
      <c r="F310" t="s">
        <v>157</v>
      </c>
      <c r="G310" t="s">
        <v>158</v>
      </c>
      <c r="H310" t="s">
        <v>159</v>
      </c>
      <c r="I310">
        <v>1</v>
      </c>
      <c r="J310" t="s">
        <v>160</v>
      </c>
      <c r="K310">
        <v>42</v>
      </c>
      <c r="L310" t="s">
        <v>161</v>
      </c>
      <c r="M310">
        <v>45</v>
      </c>
      <c r="N310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FormatPr defaultRowHeight="15" outlineLevelRow="0" outlineLevelCol="0" x14ac:dyDescent="55"/>
  <sheetData>
    <row r="1" spans="1:11" x14ac:dyDescent="0.25">
      <c r="A1" t="s">
        <v>245</v>
      </c>
      <c r="B1" t="s">
        <v>245</v>
      </c>
      <c r="C1" t="s">
        <v>245</v>
      </c>
      <c r="D1" t="s">
        <v>245</v>
      </c>
      <c r="E1" t="s">
        <v>245</v>
      </c>
      <c r="F1" t="s">
        <v>245</v>
      </c>
      <c r="G1" t="s">
        <v>245</v>
      </c>
      <c r="H1" t="s">
        <v>245</v>
      </c>
      <c r="I1" t="s">
        <v>155</v>
      </c>
      <c r="J1" t="s">
        <v>155</v>
      </c>
      <c r="K1" t="s">
        <v>155</v>
      </c>
    </row>
    <row r="2" spans="1:11" x14ac:dyDescent="0.25">
      <c r="A2" t="s">
        <v>246</v>
      </c>
      <c r="B2" t="s">
        <v>246</v>
      </c>
      <c r="C2" t="s">
        <v>247</v>
      </c>
      <c r="F2" t="s">
        <v>248</v>
      </c>
      <c r="G2" t="s">
        <v>248</v>
      </c>
    </row>
    <row r="3" spans="1:11" x14ac:dyDescent="0.25">
      <c r="A3" t="e">
        <v>#VALUE!</v>
      </c>
      <c r="B3" t="e">
        <v>#VALUE!</v>
      </c>
      <c r="C3" t="e">
        <v>#VALUE!</v>
      </c>
      <c r="D3" t="s">
        <v>249</v>
      </c>
      <c r="E3" t="s">
        <v>249</v>
      </c>
      <c r="F3" t="s">
        <v>249</v>
      </c>
      <c r="G3" t="s">
        <v>249</v>
      </c>
      <c r="H3" t="s">
        <v>249</v>
      </c>
      <c r="I3" t="s">
        <v>250</v>
      </c>
      <c r="J3" t="s">
        <v>250</v>
      </c>
      <c r="K3" t="s">
        <v>250</v>
      </c>
    </row>
    <row r="4" spans="1:11" x14ac:dyDescent="0.25">
      <c r="A4" t="s">
        <v>251</v>
      </c>
      <c r="B4" t="s">
        <v>159</v>
      </c>
      <c r="C4" t="s">
        <v>157</v>
      </c>
      <c r="D4" t="s">
        <v>157</v>
      </c>
      <c r="E4" t="s">
        <v>252</v>
      </c>
      <c r="F4" t="s">
        <v>160</v>
      </c>
      <c r="G4" t="s">
        <v>161</v>
      </c>
      <c r="H4" t="s">
        <v>176</v>
      </c>
      <c r="I4" t="s">
        <v>176</v>
      </c>
      <c r="J4" t="s">
        <v>253</v>
      </c>
      <c r="K4" t="s">
        <v>254</v>
      </c>
    </row>
    <row r="5" spans="1:11" x14ac:dyDescent="0.25">
      <c r="A5" t="s">
        <v>156</v>
      </c>
      <c r="B5" s="1">
        <v>45676</v>
      </c>
      <c r="C5" t="s">
        <v>171</v>
      </c>
      <c r="D5" t="s">
        <v>158</v>
      </c>
      <c r="E5">
        <v>5</v>
      </c>
      <c r="F5">
        <v>4</v>
      </c>
      <c r="G5">
        <v>480</v>
      </c>
      <c r="I5" t="s">
        <v>16</v>
      </c>
    </row>
    <row r="6" spans="1:11" x14ac:dyDescent="0.25">
      <c r="A6" t="s">
        <v>156</v>
      </c>
      <c r="B6" s="1">
        <v>45671</v>
      </c>
      <c r="C6" t="s">
        <v>173</v>
      </c>
      <c r="D6" t="s">
        <v>158</v>
      </c>
      <c r="E6">
        <v>2</v>
      </c>
      <c r="F6">
        <v>6</v>
      </c>
      <c r="G6">
        <v>600</v>
      </c>
      <c r="I6" t="s">
        <v>16</v>
      </c>
    </row>
    <row r="7" spans="1:11" x14ac:dyDescent="0.25">
      <c r="A7" t="s">
        <v>156</v>
      </c>
      <c r="B7" s="1">
        <v>45671</v>
      </c>
      <c r="C7" t="s">
        <v>178</v>
      </c>
      <c r="D7" t="s">
        <v>158</v>
      </c>
      <c r="E7">
        <v>2</v>
      </c>
      <c r="F7">
        <v>6</v>
      </c>
      <c r="G7">
        <v>6</v>
      </c>
      <c r="I7" t="s">
        <v>16</v>
      </c>
    </row>
    <row r="8" spans="1:11" x14ac:dyDescent="0.25">
      <c r="A8" t="s">
        <v>156</v>
      </c>
      <c r="B8" s="1">
        <v>45672</v>
      </c>
      <c r="C8" t="s">
        <v>180</v>
      </c>
      <c r="D8" t="s">
        <v>158</v>
      </c>
      <c r="E8">
        <v>3</v>
      </c>
      <c r="F8">
        <v>8</v>
      </c>
      <c r="G8">
        <v>800</v>
      </c>
      <c r="I8" t="s">
        <v>16</v>
      </c>
    </row>
    <row r="9" spans="1:11" x14ac:dyDescent="0.25">
      <c r="A9" t="s">
        <v>156</v>
      </c>
      <c r="B9" s="1">
        <v>45673</v>
      </c>
      <c r="C9" t="s">
        <v>159</v>
      </c>
      <c r="D9" t="s">
        <v>158</v>
      </c>
      <c r="E9">
        <v>4</v>
      </c>
      <c r="F9">
        <v>5</v>
      </c>
      <c r="G9">
        <v>1250</v>
      </c>
      <c r="I9" t="s">
        <v>16</v>
      </c>
    </row>
    <row r="10" spans="1:11" x14ac:dyDescent="0.25">
      <c r="A10" t="s">
        <v>156</v>
      </c>
      <c r="B10" s="1">
        <v>45673</v>
      </c>
      <c r="C10" t="s">
        <v>195</v>
      </c>
      <c r="D10" t="s">
        <v>158</v>
      </c>
      <c r="E10">
        <v>4</v>
      </c>
      <c r="F10">
        <v>5</v>
      </c>
      <c r="G10">
        <v>5</v>
      </c>
      <c r="I10" t="s">
        <v>16</v>
      </c>
    </row>
    <row r="11" spans="1:11" x14ac:dyDescent="0.25">
      <c r="A11" t="s">
        <v>156</v>
      </c>
      <c r="B11" s="1">
        <v>45672</v>
      </c>
      <c r="C11" t="s">
        <v>184</v>
      </c>
      <c r="D11" t="s">
        <v>158</v>
      </c>
      <c r="E11">
        <v>3</v>
      </c>
      <c r="F11">
        <v>8</v>
      </c>
      <c r="G11">
        <v>8</v>
      </c>
      <c r="I11" t="s">
        <v>16</v>
      </c>
    </row>
    <row r="12" spans="1:11" x14ac:dyDescent="0.25">
      <c r="A12" t="s">
        <v>156</v>
      </c>
      <c r="B12" s="1">
        <v>45676</v>
      </c>
      <c r="C12" t="s">
        <v>158</v>
      </c>
      <c r="D12" t="s">
        <v>158</v>
      </c>
      <c r="E12">
        <v>5</v>
      </c>
      <c r="F12">
        <v>4</v>
      </c>
      <c r="G12">
        <v>200</v>
      </c>
      <c r="I12" t="s">
        <v>16</v>
      </c>
    </row>
    <row r="13" spans="1:11" x14ac:dyDescent="0.25">
      <c r="A13" t="s">
        <v>156</v>
      </c>
      <c r="B13" s="1">
        <v>45673</v>
      </c>
      <c r="C13" t="s">
        <v>173</v>
      </c>
      <c r="D13" t="s">
        <v>158</v>
      </c>
      <c r="E13">
        <v>4</v>
      </c>
      <c r="F13">
        <v>5</v>
      </c>
      <c r="G13">
        <v>500</v>
      </c>
      <c r="I13" t="s">
        <v>16</v>
      </c>
    </row>
    <row r="14" spans="1:11" x14ac:dyDescent="0.25">
      <c r="A14" t="s">
        <v>156</v>
      </c>
      <c r="B14" s="1">
        <v>45671</v>
      </c>
      <c r="C14" t="s">
        <v>204</v>
      </c>
      <c r="D14" t="s">
        <v>158</v>
      </c>
      <c r="E14">
        <v>2</v>
      </c>
      <c r="F14">
        <v>6</v>
      </c>
      <c r="G14">
        <v>6</v>
      </c>
      <c r="I14" t="s">
        <v>16</v>
      </c>
    </row>
    <row r="15" spans="1:11" x14ac:dyDescent="0.25">
      <c r="A15" t="s">
        <v>156</v>
      </c>
      <c r="B15" s="1">
        <v>45670</v>
      </c>
      <c r="C15" t="s">
        <v>208</v>
      </c>
      <c r="D15" t="s">
        <v>158</v>
      </c>
      <c r="E15">
        <v>1</v>
      </c>
      <c r="F15">
        <v>5</v>
      </c>
      <c r="G15">
        <v>450</v>
      </c>
      <c r="I15" t="s">
        <v>16</v>
      </c>
    </row>
    <row r="16" spans="1:11" x14ac:dyDescent="0.25">
      <c r="A16" t="s">
        <v>156</v>
      </c>
      <c r="B16" s="1">
        <v>45676</v>
      </c>
      <c r="C16" t="s">
        <v>208</v>
      </c>
      <c r="D16" t="s">
        <v>158</v>
      </c>
      <c r="E16">
        <v>5</v>
      </c>
      <c r="F16">
        <v>4</v>
      </c>
      <c r="G16">
        <v>360</v>
      </c>
      <c r="I16" t="s">
        <v>16</v>
      </c>
    </row>
    <row r="17" spans="1:11" x14ac:dyDescent="0.25">
      <c r="A17" t="s">
        <v>156</v>
      </c>
      <c r="B17" s="1">
        <v>45672</v>
      </c>
      <c r="C17" t="s">
        <v>219</v>
      </c>
      <c r="D17" t="s">
        <v>158</v>
      </c>
      <c r="E17">
        <v>3</v>
      </c>
      <c r="F17">
        <v>8</v>
      </c>
      <c r="G17">
        <v>1120</v>
      </c>
      <c r="I17" t="s">
        <v>16</v>
      </c>
    </row>
    <row r="18" spans="1:11" x14ac:dyDescent="0.25">
      <c r="A18" t="s">
        <v>156</v>
      </c>
      <c r="B18" s="1">
        <v>45676</v>
      </c>
      <c r="C18" t="s">
        <v>221</v>
      </c>
      <c r="D18" t="s">
        <v>158</v>
      </c>
      <c r="E18">
        <v>5</v>
      </c>
      <c r="F18">
        <v>4</v>
      </c>
      <c r="G18">
        <v>400</v>
      </c>
      <c r="I18" t="s">
        <v>16</v>
      </c>
    </row>
    <row r="19" spans="1:11" x14ac:dyDescent="0.25">
      <c r="A19" t="s">
        <v>156</v>
      </c>
      <c r="B19" s="1">
        <v>45671</v>
      </c>
      <c r="C19" t="s">
        <v>179</v>
      </c>
      <c r="D19" t="s">
        <v>158</v>
      </c>
      <c r="E19">
        <v>2</v>
      </c>
      <c r="F19">
        <v>6</v>
      </c>
      <c r="G19">
        <v>600</v>
      </c>
      <c r="I19" t="s">
        <v>16</v>
      </c>
    </row>
    <row r="20" spans="1:11" x14ac:dyDescent="0.25">
      <c r="A20" t="s">
        <v>156</v>
      </c>
      <c r="B20" s="1">
        <v>45670</v>
      </c>
      <c r="C20" t="s">
        <v>231</v>
      </c>
      <c r="D20" t="s">
        <v>158</v>
      </c>
      <c r="E20">
        <v>1</v>
      </c>
      <c r="F20">
        <v>5</v>
      </c>
      <c r="G20">
        <v>600</v>
      </c>
      <c r="I20" t="s">
        <v>16</v>
      </c>
    </row>
    <row r="21" spans="1:11" x14ac:dyDescent="0.25">
      <c r="A21" t="s">
        <v>156</v>
      </c>
      <c r="B21" s="1">
        <v>45670</v>
      </c>
      <c r="C21" t="s">
        <v>158</v>
      </c>
      <c r="D21" t="s">
        <v>158</v>
      </c>
      <c r="E21">
        <v>1</v>
      </c>
      <c r="F21">
        <v>5</v>
      </c>
      <c r="G21" s="2">
        <v>2.5</v>
      </c>
      <c r="J21" t="s">
        <v>16</v>
      </c>
    </row>
    <row r="22" spans="1:11" x14ac:dyDescent="0.25">
      <c r="A22" t="s">
        <v>156</v>
      </c>
      <c r="B22" s="1">
        <v>45672</v>
      </c>
      <c r="C22" t="s">
        <v>176</v>
      </c>
      <c r="D22" t="s">
        <v>158</v>
      </c>
      <c r="E22">
        <v>3</v>
      </c>
      <c r="F22">
        <v>8</v>
      </c>
      <c r="G22" s="2">
        <v>4</v>
      </c>
      <c r="J22" t="s">
        <v>16</v>
      </c>
    </row>
    <row r="23" spans="1:11" x14ac:dyDescent="0.25">
      <c r="A23" t="s">
        <v>156</v>
      </c>
      <c r="B23" s="1">
        <v>45672</v>
      </c>
      <c r="C23" t="s">
        <v>184</v>
      </c>
      <c r="D23" t="s">
        <v>158</v>
      </c>
      <c r="E23">
        <v>3</v>
      </c>
      <c r="F23">
        <v>8</v>
      </c>
      <c r="G23">
        <v>400</v>
      </c>
      <c r="J23" t="s">
        <v>16</v>
      </c>
    </row>
    <row r="24" spans="1:11" x14ac:dyDescent="0.25">
      <c r="A24" t="s">
        <v>156</v>
      </c>
      <c r="B24" s="1">
        <v>45671</v>
      </c>
      <c r="C24" t="s">
        <v>207</v>
      </c>
      <c r="D24" t="s">
        <v>158</v>
      </c>
      <c r="E24">
        <v>2</v>
      </c>
      <c r="F24">
        <v>6</v>
      </c>
      <c r="G24">
        <v>1</v>
      </c>
      <c r="J24" t="s">
        <v>16</v>
      </c>
    </row>
    <row r="25" spans="1:11" x14ac:dyDescent="0.25">
      <c r="A25" t="s">
        <v>156</v>
      </c>
      <c r="B25" s="1">
        <v>45676</v>
      </c>
      <c r="C25" t="s">
        <v>158</v>
      </c>
      <c r="D25" t="s">
        <v>158</v>
      </c>
      <c r="E25">
        <v>5</v>
      </c>
      <c r="F25">
        <v>4</v>
      </c>
      <c r="G25">
        <v>1</v>
      </c>
      <c r="J25" t="s">
        <v>16</v>
      </c>
    </row>
    <row r="26" spans="1:11" x14ac:dyDescent="0.25">
      <c r="A26" t="s">
        <v>156</v>
      </c>
      <c r="B26" s="1">
        <v>45671</v>
      </c>
      <c r="C26" t="s">
        <v>176</v>
      </c>
      <c r="D26" t="s">
        <v>158</v>
      </c>
      <c r="E26">
        <v>2</v>
      </c>
      <c r="F26">
        <v>6</v>
      </c>
      <c r="G26">
        <v>3</v>
      </c>
      <c r="J26" t="s">
        <v>16</v>
      </c>
    </row>
    <row r="27" spans="1:11" x14ac:dyDescent="0.25">
      <c r="A27" t="s">
        <v>156</v>
      </c>
      <c r="B27" s="1">
        <v>45670</v>
      </c>
      <c r="C27" t="s">
        <v>173</v>
      </c>
      <c r="D27" t="s">
        <v>158</v>
      </c>
      <c r="E27">
        <v>1</v>
      </c>
      <c r="F27">
        <v>5</v>
      </c>
      <c r="G27">
        <v>250</v>
      </c>
      <c r="J27" t="s">
        <v>16</v>
      </c>
      <c r="K27" s="5"/>
    </row>
    <row r="28" spans="1:11" x14ac:dyDescent="0.25">
      <c r="A28" t="s">
        <v>156</v>
      </c>
      <c r="B28" s="1">
        <v>45670</v>
      </c>
      <c r="C28" t="s">
        <v>173</v>
      </c>
      <c r="D28" t="s">
        <v>158</v>
      </c>
      <c r="E28">
        <v>1</v>
      </c>
      <c r="F28">
        <v>5</v>
      </c>
      <c r="G28">
        <v>500</v>
      </c>
      <c r="J28" t="s">
        <v>16</v>
      </c>
      <c r="K28" s="5"/>
    </row>
    <row r="29" spans="1:11" x14ac:dyDescent="0.25">
      <c r="A29" t="s">
        <v>156</v>
      </c>
      <c r="B29" s="1">
        <v>45673</v>
      </c>
      <c r="C29" t="s">
        <v>228</v>
      </c>
      <c r="D29" t="s">
        <v>158</v>
      </c>
      <c r="E29">
        <v>4</v>
      </c>
      <c r="F29">
        <v>5</v>
      </c>
      <c r="G29">
        <v>5</v>
      </c>
      <c r="J2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FormatPr defaultRowHeight="15" outlineLevelRow="0" outlineLevelCol="0" x14ac:dyDescent="55"/>
  <sheetData>
    <row r="1" spans="1:8" x14ac:dyDescent="0.25">
      <c r="A1" t="s">
        <v>245</v>
      </c>
      <c r="B1" t="s">
        <v>245</v>
      </c>
      <c r="C1" t="s">
        <v>245</v>
      </c>
      <c r="D1" t="s">
        <v>245</v>
      </c>
      <c r="E1" t="s">
        <v>245</v>
      </c>
      <c r="F1" t="s">
        <v>245</v>
      </c>
      <c r="G1" t="s">
        <v>245</v>
      </c>
      <c r="H1" t="s">
        <v>245</v>
      </c>
    </row>
    <row r="2" spans="1:8" x14ac:dyDescent="0.25">
      <c r="A2" t="s">
        <v>255</v>
      </c>
      <c r="B2" t="s">
        <v>255</v>
      </c>
      <c r="D2" t="s">
        <v>256</v>
      </c>
      <c r="E2" t="s">
        <v>256</v>
      </c>
      <c r="G2" t="s">
        <v>257</v>
      </c>
    </row>
    <row r="3" spans="1:8" x14ac:dyDescent="0.25">
      <c r="A3" t="e">
        <v>#VALUE!</v>
      </c>
      <c r="B3" t="e">
        <v>#VALUE!</v>
      </c>
      <c r="C3" t="e">
        <v>#VALUE!</v>
      </c>
      <c r="D3" t="s">
        <v>249</v>
      </c>
      <c r="E3" t="s">
        <v>249</v>
      </c>
      <c r="F3" t="s">
        <v>249</v>
      </c>
      <c r="G3" t="s">
        <v>249</v>
      </c>
      <c r="H3" t="s">
        <v>258</v>
      </c>
    </row>
    <row r="4" spans="1:8" x14ac:dyDescent="0.25">
      <c r="A4" t="s">
        <v>251</v>
      </c>
      <c r="B4" t="s">
        <v>159</v>
      </c>
      <c r="C4" t="s">
        <v>157</v>
      </c>
      <c r="D4" t="s">
        <v>157</v>
      </c>
      <c r="E4" t="s">
        <v>160</v>
      </c>
      <c r="F4" t="s">
        <v>259</v>
      </c>
      <c r="G4" t="s">
        <v>176</v>
      </c>
      <c r="H4" t="s">
        <v>254</v>
      </c>
    </row>
    <row r="5" spans="1:8" x14ac:dyDescent="0.25">
      <c r="A5" t="s">
        <v>167</v>
      </c>
      <c r="B5" s="1">
        <v>45662</v>
      </c>
      <c r="C5" t="s">
        <v>158</v>
      </c>
      <c r="D5" t="s">
        <v>158</v>
      </c>
      <c r="E5">
        <v>26</v>
      </c>
      <c r="F5">
        <v>26</v>
      </c>
    </row>
    <row r="6" spans="1:8" x14ac:dyDescent="0.25">
      <c r="A6" t="s">
        <v>167</v>
      </c>
      <c r="B6" s="1">
        <v>45662</v>
      </c>
      <c r="C6" t="s">
        <v>193</v>
      </c>
      <c r="D6" t="s">
        <v>174</v>
      </c>
      <c r="E6">
        <v>1</v>
      </c>
      <c r="F6">
        <v>90</v>
      </c>
      <c r="G6" t="s">
        <v>182</v>
      </c>
    </row>
    <row r="7" spans="1:8" x14ac:dyDescent="0.25">
      <c r="A7" t="s">
        <v>167</v>
      </c>
      <c r="B7" s="1">
        <v>45662</v>
      </c>
      <c r="C7" t="s">
        <v>208</v>
      </c>
      <c r="D7" t="s">
        <v>158</v>
      </c>
      <c r="E7">
        <v>25</v>
      </c>
      <c r="F7">
        <v>2250</v>
      </c>
    </row>
    <row r="8" spans="1:8" x14ac:dyDescent="0.25">
      <c r="A8" t="s">
        <v>167</v>
      </c>
      <c r="B8" s="1">
        <v>45662</v>
      </c>
      <c r="C8" t="s">
        <v>218</v>
      </c>
      <c r="D8" t="s">
        <v>174</v>
      </c>
      <c r="E8">
        <v>1</v>
      </c>
      <c r="F8">
        <v>100</v>
      </c>
      <c r="G8" t="s">
        <v>214</v>
      </c>
    </row>
    <row r="9" spans="1:8" x14ac:dyDescent="0.25">
      <c r="A9" t="s">
        <v>167</v>
      </c>
      <c r="B9" s="1">
        <v>45662</v>
      </c>
      <c r="C9" t="s">
        <v>218</v>
      </c>
      <c r="D9" t="s">
        <v>174</v>
      </c>
      <c r="E9">
        <v>1</v>
      </c>
      <c r="F9">
        <v>100</v>
      </c>
      <c r="G9" t="s">
        <v>216</v>
      </c>
    </row>
    <row r="10" spans="1:8" x14ac:dyDescent="0.25">
      <c r="A10" t="s">
        <v>167</v>
      </c>
      <c r="B10" s="1">
        <v>45662</v>
      </c>
      <c r="C10" t="s">
        <v>173</v>
      </c>
      <c r="D10" t="s">
        <v>158</v>
      </c>
      <c r="E10">
        <v>25</v>
      </c>
      <c r="F10">
        <v>1250</v>
      </c>
      <c r="G10" t="s">
        <v>224</v>
      </c>
    </row>
    <row r="11" spans="1:8" x14ac:dyDescent="0.25">
      <c r="A11" t="s">
        <v>167</v>
      </c>
      <c r="B11" s="1">
        <v>45662</v>
      </c>
      <c r="C11" t="s">
        <v>173</v>
      </c>
      <c r="D11" t="s">
        <v>158</v>
      </c>
      <c r="E11">
        <v>25</v>
      </c>
      <c r="F11">
        <v>2500</v>
      </c>
    </row>
    <row r="12" spans="1:8" x14ac:dyDescent="0.25">
      <c r="A12" t="s">
        <v>167</v>
      </c>
      <c r="B12" s="1">
        <v>45662</v>
      </c>
      <c r="C12" t="s">
        <v>230</v>
      </c>
      <c r="D12" t="s">
        <v>174</v>
      </c>
      <c r="E12">
        <v>1</v>
      </c>
      <c r="F12">
        <v>120</v>
      </c>
      <c r="G12" t="s">
        <v>182</v>
      </c>
    </row>
    <row r="13" spans="1:8" x14ac:dyDescent="0.25">
      <c r="A13" t="s">
        <v>167</v>
      </c>
      <c r="B13" s="1">
        <v>45662</v>
      </c>
      <c r="C13" t="s">
        <v>231</v>
      </c>
      <c r="D13" t="s">
        <v>158</v>
      </c>
      <c r="E13">
        <v>25</v>
      </c>
      <c r="F13">
        <v>3000</v>
      </c>
    </row>
    <row r="14" spans="1:8" x14ac:dyDescent="0.25">
      <c r="A14" t="s">
        <v>167</v>
      </c>
      <c r="B14" s="1">
        <v>45662</v>
      </c>
      <c r="C14" t="s">
        <v>233</v>
      </c>
      <c r="D14" t="s">
        <v>174</v>
      </c>
      <c r="E14">
        <v>1</v>
      </c>
      <c r="F14">
        <v>50</v>
      </c>
      <c r="G14" t="s">
        <v>182</v>
      </c>
    </row>
    <row r="15" spans="1:8" x14ac:dyDescent="0.25">
      <c r="A15" t="s">
        <v>167</v>
      </c>
      <c r="B15" s="1">
        <v>45663</v>
      </c>
      <c r="C15" t="s">
        <v>173</v>
      </c>
      <c r="D15" t="s">
        <v>158</v>
      </c>
      <c r="E15">
        <v>27</v>
      </c>
      <c r="F15">
        <v>2700</v>
      </c>
    </row>
    <row r="16" spans="1:8" x14ac:dyDescent="0.25">
      <c r="A16" t="s">
        <v>167</v>
      </c>
      <c r="B16" s="1">
        <v>45663</v>
      </c>
      <c r="C16" t="s">
        <v>178</v>
      </c>
      <c r="D16" t="s">
        <v>158</v>
      </c>
      <c r="E16">
        <v>24</v>
      </c>
      <c r="F16">
        <v>24</v>
      </c>
    </row>
    <row r="17" spans="1:8" x14ac:dyDescent="0.25">
      <c r="A17" t="s">
        <v>167</v>
      </c>
      <c r="B17" s="1">
        <v>45663</v>
      </c>
      <c r="C17" t="s">
        <v>204</v>
      </c>
      <c r="D17" t="s">
        <v>158</v>
      </c>
      <c r="E17">
        <v>27</v>
      </c>
      <c r="F17">
        <v>27</v>
      </c>
    </row>
    <row r="18" spans="1:8" x14ac:dyDescent="0.25">
      <c r="A18" t="s">
        <v>167</v>
      </c>
      <c r="B18" s="1">
        <v>45663</v>
      </c>
      <c r="C18" t="s">
        <v>207</v>
      </c>
      <c r="D18" t="s">
        <v>158</v>
      </c>
      <c r="E18">
        <v>27</v>
      </c>
      <c r="F18" s="2">
        <v>1.588235294117647</v>
      </c>
    </row>
    <row r="19" spans="1:8" x14ac:dyDescent="0.25">
      <c r="A19" t="s">
        <v>167</v>
      </c>
      <c r="B19" s="1">
        <v>45663</v>
      </c>
      <c r="C19" t="s">
        <v>176</v>
      </c>
      <c r="D19" t="s">
        <v>158</v>
      </c>
      <c r="E19">
        <v>27</v>
      </c>
      <c r="F19">
        <v>27</v>
      </c>
    </row>
    <row r="20" spans="1:8" x14ac:dyDescent="0.25">
      <c r="A20" t="s">
        <v>167</v>
      </c>
      <c r="B20" s="1">
        <v>45663</v>
      </c>
      <c r="C20" t="s">
        <v>179</v>
      </c>
      <c r="D20" t="s">
        <v>158</v>
      </c>
      <c r="E20">
        <v>27</v>
      </c>
      <c r="F20">
        <v>2700</v>
      </c>
    </row>
    <row r="21" spans="1:8" x14ac:dyDescent="0.25">
      <c r="A21" t="s">
        <v>167</v>
      </c>
      <c r="B21" s="1">
        <v>45663</v>
      </c>
      <c r="C21" t="s">
        <v>229</v>
      </c>
      <c r="D21" t="s">
        <v>158</v>
      </c>
      <c r="E21">
        <v>27</v>
      </c>
      <c r="F21" s="2">
        <v>4.5</v>
      </c>
    </row>
    <row r="22" spans="1:8" x14ac:dyDescent="0.25">
      <c r="A22" t="s">
        <v>167</v>
      </c>
      <c r="B22" s="1">
        <v>45663</v>
      </c>
      <c r="C22" t="s">
        <v>234</v>
      </c>
      <c r="D22" t="s">
        <v>174</v>
      </c>
      <c r="E22">
        <v>1</v>
      </c>
      <c r="F22">
        <v>1</v>
      </c>
      <c r="G22" t="s">
        <v>236</v>
      </c>
    </row>
    <row r="23" spans="1:8" x14ac:dyDescent="0.25">
      <c r="A23" t="s">
        <v>167</v>
      </c>
      <c r="B23" s="1">
        <v>45663</v>
      </c>
      <c r="C23" t="s">
        <v>234</v>
      </c>
      <c r="D23" t="s">
        <v>174</v>
      </c>
      <c r="E23">
        <v>1</v>
      </c>
      <c r="F23">
        <v>1</v>
      </c>
      <c r="G23" t="s">
        <v>175</v>
      </c>
    </row>
    <row r="24" spans="1:8" x14ac:dyDescent="0.25">
      <c r="A24" t="s">
        <v>167</v>
      </c>
      <c r="B24" s="1">
        <v>45663</v>
      </c>
      <c r="C24" t="s">
        <v>234</v>
      </c>
      <c r="D24" t="s">
        <v>174</v>
      </c>
      <c r="E24">
        <v>1</v>
      </c>
      <c r="F24">
        <v>1</v>
      </c>
      <c r="G24" t="s">
        <v>237</v>
      </c>
    </row>
    <row r="25" spans="1:8" x14ac:dyDescent="0.25">
      <c r="C25" t="s">
        <v>260</v>
      </c>
      <c r="F25" t="s">
        <v>261</v>
      </c>
    </row>
    <row r="26" spans="1:8" x14ac:dyDescent="0.25">
      <c r="A26" t="s">
        <v>262</v>
      </c>
      <c r="B26" t="s">
        <v>262</v>
      </c>
      <c r="C26" t="s">
        <v>262</v>
      </c>
      <c r="D26" t="s">
        <v>262</v>
      </c>
      <c r="E26" t="s">
        <v>262</v>
      </c>
      <c r="F26" t="s">
        <v>262</v>
      </c>
      <c r="G26" t="s">
        <v>262</v>
      </c>
      <c r="H26" t="s">
        <v>262</v>
      </c>
    </row>
    <row r="27" spans="1:8" x14ac:dyDescent="0.25">
      <c r="A27" t="s">
        <v>255</v>
      </c>
      <c r="B27" t="s">
        <v>255</v>
      </c>
      <c r="D27" t="s">
        <v>256</v>
      </c>
      <c r="E27" t="s">
        <v>256</v>
      </c>
      <c r="G27" t="s">
        <v>257</v>
      </c>
    </row>
    <row r="28" spans="1:8" x14ac:dyDescent="0.25">
      <c r="A28" t="e">
        <v>#VALUE!</v>
      </c>
      <c r="B28" t="e">
        <v>#VALUE!</v>
      </c>
      <c r="C28" t="e">
        <v>#VALUE!</v>
      </c>
      <c r="D28" t="s">
        <v>249</v>
      </c>
      <c r="E28" t="s">
        <v>249</v>
      </c>
      <c r="F28" t="s">
        <v>249</v>
      </c>
      <c r="G28" t="s">
        <v>249</v>
      </c>
      <c r="H28" t="s">
        <v>258</v>
      </c>
    </row>
    <row r="29" spans="1:8" x14ac:dyDescent="0.25">
      <c r="A29" t="s">
        <v>251</v>
      </c>
      <c r="B29" t="s">
        <v>159</v>
      </c>
      <c r="C29" t="s">
        <v>157</v>
      </c>
      <c r="D29" t="s">
        <v>157</v>
      </c>
      <c r="E29" t="s">
        <v>160</v>
      </c>
      <c r="F29" t="s">
        <v>259</v>
      </c>
      <c r="G29" t="s">
        <v>176</v>
      </c>
      <c r="H29" t="s">
        <v>254</v>
      </c>
    </row>
    <row r="30" spans="1:8" x14ac:dyDescent="0.25">
      <c r="A30" t="s">
        <v>163</v>
      </c>
      <c r="B30" s="1">
        <v>45662</v>
      </c>
      <c r="C30" t="s">
        <v>158</v>
      </c>
      <c r="D30" t="s">
        <v>158</v>
      </c>
      <c r="E30">
        <v>19</v>
      </c>
      <c r="F30">
        <v>19</v>
      </c>
    </row>
    <row r="31" spans="1:8" x14ac:dyDescent="0.25">
      <c r="A31" t="s">
        <v>163</v>
      </c>
      <c r="B31" s="1">
        <v>45662</v>
      </c>
      <c r="C31" t="s">
        <v>208</v>
      </c>
      <c r="D31" t="s">
        <v>158</v>
      </c>
      <c r="E31">
        <v>19</v>
      </c>
      <c r="F31">
        <v>1900</v>
      </c>
    </row>
    <row r="32" spans="1:8" x14ac:dyDescent="0.25">
      <c r="A32" t="s">
        <v>163</v>
      </c>
      <c r="B32" s="1">
        <v>45662</v>
      </c>
      <c r="C32" t="s">
        <v>218</v>
      </c>
      <c r="D32" t="s">
        <v>174</v>
      </c>
      <c r="E32">
        <v>1</v>
      </c>
      <c r="F32">
        <v>100</v>
      </c>
      <c r="G32" t="s">
        <v>217</v>
      </c>
    </row>
    <row r="33" spans="1:8" x14ac:dyDescent="0.25">
      <c r="A33" t="s">
        <v>163</v>
      </c>
      <c r="B33" s="1">
        <v>45662</v>
      </c>
      <c r="C33" t="s">
        <v>173</v>
      </c>
      <c r="D33" t="s">
        <v>158</v>
      </c>
      <c r="E33">
        <v>18</v>
      </c>
      <c r="F33">
        <v>900</v>
      </c>
    </row>
    <row r="34" spans="1:8" x14ac:dyDescent="0.25">
      <c r="A34" t="s">
        <v>163</v>
      </c>
      <c r="B34" s="1">
        <v>45662</v>
      </c>
      <c r="C34" t="s">
        <v>173</v>
      </c>
      <c r="D34" t="s">
        <v>158</v>
      </c>
      <c r="E34">
        <v>18</v>
      </c>
      <c r="F34">
        <v>1800</v>
      </c>
    </row>
    <row r="35" spans="1:8" x14ac:dyDescent="0.25">
      <c r="A35" t="s">
        <v>163</v>
      </c>
      <c r="B35" s="1">
        <v>45662</v>
      </c>
      <c r="C35" t="s">
        <v>230</v>
      </c>
      <c r="D35" t="s">
        <v>174</v>
      </c>
      <c r="E35">
        <v>1</v>
      </c>
      <c r="F35">
        <v>120</v>
      </c>
      <c r="G35" t="s">
        <v>135</v>
      </c>
    </row>
    <row r="36" spans="1:8" x14ac:dyDescent="0.25">
      <c r="A36" t="s">
        <v>163</v>
      </c>
      <c r="B36" s="1">
        <v>45662</v>
      </c>
      <c r="C36" t="s">
        <v>231</v>
      </c>
      <c r="D36" t="s">
        <v>158</v>
      </c>
      <c r="E36">
        <v>18</v>
      </c>
      <c r="F36">
        <v>2160</v>
      </c>
    </row>
    <row r="37" spans="1:8" x14ac:dyDescent="0.25">
      <c r="A37" t="s">
        <v>163</v>
      </c>
      <c r="B37" s="1">
        <v>45662</v>
      </c>
      <c r="C37" t="s">
        <v>233</v>
      </c>
      <c r="D37" t="s">
        <v>174</v>
      </c>
      <c r="E37">
        <v>1</v>
      </c>
      <c r="F37">
        <v>50</v>
      </c>
      <c r="G37" t="s">
        <v>135</v>
      </c>
    </row>
    <row r="38" spans="1:8" x14ac:dyDescent="0.25">
      <c r="A38" t="s">
        <v>163</v>
      </c>
      <c r="B38" s="1">
        <v>45663</v>
      </c>
      <c r="C38" t="s">
        <v>173</v>
      </c>
      <c r="D38" t="s">
        <v>158</v>
      </c>
      <c r="E38">
        <v>18</v>
      </c>
      <c r="F38">
        <v>1800</v>
      </c>
    </row>
    <row r="39" spans="1:8" x14ac:dyDescent="0.25">
      <c r="A39" t="s">
        <v>163</v>
      </c>
      <c r="B39" s="1">
        <v>45663</v>
      </c>
      <c r="C39" t="s">
        <v>178</v>
      </c>
      <c r="D39" t="s">
        <v>158</v>
      </c>
      <c r="E39">
        <v>18</v>
      </c>
      <c r="F39">
        <v>18</v>
      </c>
    </row>
    <row r="40" spans="1:8" x14ac:dyDescent="0.25">
      <c r="A40" t="s">
        <v>163</v>
      </c>
      <c r="B40" s="1">
        <v>45663</v>
      </c>
      <c r="C40" t="s">
        <v>204</v>
      </c>
      <c r="D40" t="s">
        <v>158</v>
      </c>
      <c r="E40">
        <v>18</v>
      </c>
      <c r="F40">
        <v>18</v>
      </c>
    </row>
    <row r="41" spans="1:8" x14ac:dyDescent="0.25">
      <c r="A41" t="s">
        <v>163</v>
      </c>
      <c r="B41" s="1">
        <v>45663</v>
      </c>
      <c r="C41" t="s">
        <v>207</v>
      </c>
      <c r="D41" t="s">
        <v>158</v>
      </c>
      <c r="E41">
        <v>18</v>
      </c>
      <c r="F41">
        <v>1</v>
      </c>
    </row>
    <row r="42" spans="1:8" x14ac:dyDescent="0.25">
      <c r="A42" t="s">
        <v>163</v>
      </c>
      <c r="B42" s="1">
        <v>45663</v>
      </c>
      <c r="C42" t="s">
        <v>176</v>
      </c>
      <c r="D42" t="s">
        <v>158</v>
      </c>
      <c r="E42">
        <v>18</v>
      </c>
      <c r="F42">
        <v>18</v>
      </c>
    </row>
    <row r="43" spans="1:8" x14ac:dyDescent="0.25">
      <c r="A43" t="s">
        <v>163</v>
      </c>
      <c r="B43" s="1">
        <v>45663</v>
      </c>
      <c r="C43" t="s">
        <v>179</v>
      </c>
      <c r="D43" t="s">
        <v>158</v>
      </c>
      <c r="E43">
        <v>18</v>
      </c>
      <c r="F43">
        <v>1800</v>
      </c>
    </row>
    <row r="44" spans="1:8" x14ac:dyDescent="0.25">
      <c r="A44" t="s">
        <v>163</v>
      </c>
      <c r="B44" s="1">
        <v>45663</v>
      </c>
      <c r="C44" t="s">
        <v>229</v>
      </c>
      <c r="D44" t="s">
        <v>158</v>
      </c>
      <c r="E44">
        <v>18</v>
      </c>
      <c r="F44">
        <v>3</v>
      </c>
    </row>
    <row r="45" spans="1:8" x14ac:dyDescent="0.25">
      <c r="C45" t="s">
        <v>260</v>
      </c>
      <c r="F45" t="s">
        <v>261</v>
      </c>
    </row>
    <row r="46" spans="1:8" x14ac:dyDescent="0.25">
      <c r="A46" t="s">
        <v>262</v>
      </c>
      <c r="B46" t="s">
        <v>262</v>
      </c>
      <c r="C46" t="s">
        <v>262</v>
      </c>
      <c r="D46" t="s">
        <v>262</v>
      </c>
      <c r="E46" t="s">
        <v>262</v>
      </c>
      <c r="F46" t="s">
        <v>262</v>
      </c>
      <c r="G46" t="s">
        <v>262</v>
      </c>
      <c r="H46" t="s">
        <v>262</v>
      </c>
    </row>
    <row r="47" spans="1:8" x14ac:dyDescent="0.25">
      <c r="A47" t="s">
        <v>255</v>
      </c>
      <c r="B47" t="s">
        <v>255</v>
      </c>
      <c r="D47" t="s">
        <v>256</v>
      </c>
      <c r="E47" t="s">
        <v>256</v>
      </c>
      <c r="G47" t="s">
        <v>257</v>
      </c>
    </row>
    <row r="48" spans="1:8" x14ac:dyDescent="0.25">
      <c r="A48" t="e">
        <v>#VALUE!</v>
      </c>
      <c r="B48" t="e">
        <v>#VALUE!</v>
      </c>
      <c r="C48" t="e">
        <v>#VALUE!</v>
      </c>
      <c r="D48" t="s">
        <v>249</v>
      </c>
      <c r="E48" t="s">
        <v>249</v>
      </c>
      <c r="F48" t="s">
        <v>249</v>
      </c>
      <c r="G48" t="s">
        <v>249</v>
      </c>
      <c r="H48" t="s">
        <v>258</v>
      </c>
    </row>
    <row r="49" spans="1:8" x14ac:dyDescent="0.25">
      <c r="A49" t="s">
        <v>251</v>
      </c>
      <c r="B49" t="s">
        <v>159</v>
      </c>
      <c r="C49" t="s">
        <v>157</v>
      </c>
      <c r="D49" t="s">
        <v>157</v>
      </c>
      <c r="E49" t="s">
        <v>160</v>
      </c>
      <c r="F49" t="s">
        <v>259</v>
      </c>
      <c r="G49" t="s">
        <v>176</v>
      </c>
      <c r="H49" t="s">
        <v>254</v>
      </c>
    </row>
    <row r="50" spans="1:8" x14ac:dyDescent="0.25">
      <c r="A50" t="s">
        <v>164</v>
      </c>
      <c r="B50" s="1">
        <v>45662</v>
      </c>
      <c r="C50" t="s">
        <v>158</v>
      </c>
      <c r="D50" t="s">
        <v>158</v>
      </c>
      <c r="E50">
        <v>20</v>
      </c>
      <c r="F50">
        <v>20</v>
      </c>
    </row>
    <row r="51" spans="1:8" x14ac:dyDescent="0.25">
      <c r="A51" t="s">
        <v>164</v>
      </c>
      <c r="B51" s="1">
        <v>45662</v>
      </c>
      <c r="C51" t="s">
        <v>208</v>
      </c>
      <c r="D51" t="s">
        <v>158</v>
      </c>
      <c r="E51">
        <v>20</v>
      </c>
      <c r="F51">
        <v>1800</v>
      </c>
    </row>
    <row r="52" spans="1:8" x14ac:dyDescent="0.25">
      <c r="A52" t="s">
        <v>164</v>
      </c>
      <c r="B52" s="1">
        <v>45662</v>
      </c>
      <c r="C52" t="s">
        <v>173</v>
      </c>
      <c r="D52" t="s">
        <v>158</v>
      </c>
      <c r="E52">
        <v>20</v>
      </c>
      <c r="F52">
        <v>1000</v>
      </c>
    </row>
    <row r="53" spans="1:8" x14ac:dyDescent="0.25">
      <c r="A53" t="s">
        <v>164</v>
      </c>
      <c r="B53" s="1">
        <v>45662</v>
      </c>
      <c r="C53" t="s">
        <v>173</v>
      </c>
      <c r="D53" t="s">
        <v>158</v>
      </c>
      <c r="E53">
        <v>20</v>
      </c>
      <c r="F53">
        <v>2000</v>
      </c>
    </row>
    <row r="54" spans="1:8" x14ac:dyDescent="0.25">
      <c r="A54" t="s">
        <v>164</v>
      </c>
      <c r="B54" s="1">
        <v>45662</v>
      </c>
      <c r="C54" t="s">
        <v>231</v>
      </c>
      <c r="D54" t="s">
        <v>158</v>
      </c>
      <c r="E54">
        <v>18</v>
      </c>
      <c r="F54">
        <v>2160</v>
      </c>
    </row>
    <row r="55" spans="1:8" x14ac:dyDescent="0.25">
      <c r="A55" t="s">
        <v>164</v>
      </c>
      <c r="B55" s="1">
        <v>45662</v>
      </c>
      <c r="C55" t="s">
        <v>231</v>
      </c>
      <c r="D55" t="s">
        <v>174</v>
      </c>
      <c r="E55">
        <v>1</v>
      </c>
      <c r="F55">
        <v>120</v>
      </c>
      <c r="G55" t="s">
        <v>175</v>
      </c>
    </row>
    <row r="56" spans="1:8" x14ac:dyDescent="0.25">
      <c r="A56" t="s">
        <v>164</v>
      </c>
      <c r="B56" s="1">
        <v>45662</v>
      </c>
      <c r="C56" t="s">
        <v>231</v>
      </c>
      <c r="D56" t="s">
        <v>174</v>
      </c>
      <c r="E56">
        <v>1</v>
      </c>
      <c r="F56">
        <v>120</v>
      </c>
      <c r="G56" t="s">
        <v>235</v>
      </c>
    </row>
    <row r="57" spans="1:8" x14ac:dyDescent="0.25">
      <c r="A57" t="s">
        <v>164</v>
      </c>
      <c r="B57" s="1">
        <v>45663</v>
      </c>
      <c r="C57" t="s">
        <v>173</v>
      </c>
      <c r="D57" t="s">
        <v>158</v>
      </c>
      <c r="E57">
        <v>23</v>
      </c>
      <c r="F57">
        <v>2300</v>
      </c>
    </row>
    <row r="58" spans="1:8" x14ac:dyDescent="0.25">
      <c r="A58" t="s">
        <v>164</v>
      </c>
      <c r="B58" s="1">
        <v>45663</v>
      </c>
      <c r="C58" t="s">
        <v>178</v>
      </c>
      <c r="D58" t="s">
        <v>158</v>
      </c>
      <c r="E58">
        <v>20</v>
      </c>
      <c r="F58">
        <v>20</v>
      </c>
    </row>
    <row r="59" spans="1:8" x14ac:dyDescent="0.25">
      <c r="A59" t="s">
        <v>164</v>
      </c>
      <c r="B59" s="1">
        <v>45663</v>
      </c>
      <c r="C59" t="s">
        <v>204</v>
      </c>
      <c r="D59" t="s">
        <v>158</v>
      </c>
      <c r="E59">
        <v>23</v>
      </c>
      <c r="F59">
        <v>23</v>
      </c>
    </row>
    <row r="60" spans="1:8" x14ac:dyDescent="0.25">
      <c r="A60" t="s">
        <v>164</v>
      </c>
      <c r="B60" s="1">
        <v>45663</v>
      </c>
      <c r="C60" t="s">
        <v>207</v>
      </c>
      <c r="D60" t="s">
        <v>158</v>
      </c>
      <c r="E60">
        <v>23</v>
      </c>
      <c r="F60">
        <v>2</v>
      </c>
    </row>
    <row r="61" spans="1:8" x14ac:dyDescent="0.25">
      <c r="A61" t="s">
        <v>164</v>
      </c>
      <c r="B61" s="1">
        <v>45663</v>
      </c>
      <c r="C61" t="s">
        <v>176</v>
      </c>
      <c r="D61" t="s">
        <v>158</v>
      </c>
      <c r="E61">
        <v>23</v>
      </c>
      <c r="F61">
        <v>23</v>
      </c>
    </row>
    <row r="62" spans="1:8" x14ac:dyDescent="0.25">
      <c r="A62" t="s">
        <v>164</v>
      </c>
      <c r="B62" s="1">
        <v>45663</v>
      </c>
      <c r="C62" t="s">
        <v>179</v>
      </c>
      <c r="D62" t="s">
        <v>158</v>
      </c>
      <c r="E62">
        <v>23</v>
      </c>
      <c r="F62">
        <v>2300</v>
      </c>
    </row>
    <row r="63" spans="1:8" x14ac:dyDescent="0.25">
      <c r="A63" t="s">
        <v>164</v>
      </c>
      <c r="B63" s="1">
        <v>45663</v>
      </c>
      <c r="C63" t="s">
        <v>229</v>
      </c>
      <c r="D63" t="s">
        <v>158</v>
      </c>
      <c r="E63">
        <v>23</v>
      </c>
      <c r="F63" s="2">
        <v>3.833333333333333</v>
      </c>
    </row>
    <row r="64" spans="1:8" x14ac:dyDescent="0.25">
      <c r="A64" t="s">
        <v>164</v>
      </c>
      <c r="B64" s="1">
        <v>45663</v>
      </c>
      <c r="C64" t="s">
        <v>234</v>
      </c>
      <c r="D64" t="s">
        <v>174</v>
      </c>
      <c r="E64">
        <v>1</v>
      </c>
      <c r="F64">
        <v>1</v>
      </c>
      <c r="G64" t="s">
        <v>137</v>
      </c>
    </row>
    <row r="65" spans="1:8" x14ac:dyDescent="0.25">
      <c r="A65" t="s">
        <v>164</v>
      </c>
      <c r="B65" s="1">
        <v>45663</v>
      </c>
      <c r="C65" t="s">
        <v>234</v>
      </c>
      <c r="D65" t="s">
        <v>174</v>
      </c>
      <c r="E65">
        <v>1</v>
      </c>
      <c r="F65">
        <v>1</v>
      </c>
      <c r="G65" t="s">
        <v>235</v>
      </c>
    </row>
    <row r="66" spans="1:8" x14ac:dyDescent="0.25">
      <c r="A66" t="s">
        <v>164</v>
      </c>
      <c r="B66" s="1">
        <v>45663</v>
      </c>
      <c r="C66" t="s">
        <v>234</v>
      </c>
      <c r="D66" t="s">
        <v>174</v>
      </c>
      <c r="E66">
        <v>1</v>
      </c>
      <c r="F66">
        <v>1</v>
      </c>
      <c r="G66" t="s">
        <v>108</v>
      </c>
    </row>
    <row r="67" spans="1:8" x14ac:dyDescent="0.25">
      <c r="C67" t="s">
        <v>260</v>
      </c>
      <c r="F67" t="s">
        <v>261</v>
      </c>
    </row>
    <row r="68" spans="1:8" x14ac:dyDescent="0.25">
      <c r="A68" t="s">
        <v>262</v>
      </c>
      <c r="B68" t="s">
        <v>262</v>
      </c>
      <c r="C68" t="s">
        <v>262</v>
      </c>
      <c r="D68" t="s">
        <v>262</v>
      </c>
      <c r="E68" t="s">
        <v>262</v>
      </c>
      <c r="F68" t="s">
        <v>262</v>
      </c>
      <c r="G68" t="s">
        <v>262</v>
      </c>
      <c r="H68" t="s">
        <v>262</v>
      </c>
    </row>
    <row r="69" spans="1:8" x14ac:dyDescent="0.25">
      <c r="A69" t="s">
        <v>255</v>
      </c>
      <c r="B69" t="s">
        <v>255</v>
      </c>
      <c r="D69" t="s">
        <v>256</v>
      </c>
      <c r="E69" t="s">
        <v>256</v>
      </c>
      <c r="G69" t="s">
        <v>257</v>
      </c>
    </row>
    <row r="70" spans="1:8" x14ac:dyDescent="0.25">
      <c r="A70" t="e">
        <v>#VALUE!</v>
      </c>
      <c r="B70" t="e">
        <v>#VALUE!</v>
      </c>
      <c r="C70" t="e">
        <v>#VALUE!</v>
      </c>
      <c r="D70" t="s">
        <v>249</v>
      </c>
      <c r="E70" t="s">
        <v>249</v>
      </c>
      <c r="F70" t="s">
        <v>249</v>
      </c>
      <c r="G70" t="s">
        <v>249</v>
      </c>
      <c r="H70" t="s">
        <v>258</v>
      </c>
    </row>
    <row r="71" spans="1:8" x14ac:dyDescent="0.25">
      <c r="A71" t="s">
        <v>251</v>
      </c>
      <c r="B71" t="s">
        <v>159</v>
      </c>
      <c r="C71" t="s">
        <v>157</v>
      </c>
      <c r="D71" t="s">
        <v>157</v>
      </c>
      <c r="E71" t="s">
        <v>160</v>
      </c>
      <c r="F71" t="s">
        <v>259</v>
      </c>
      <c r="G71" t="s">
        <v>176</v>
      </c>
      <c r="H71" t="s">
        <v>254</v>
      </c>
    </row>
    <row r="72" spans="1:8" x14ac:dyDescent="0.25">
      <c r="A72" t="s">
        <v>168</v>
      </c>
      <c r="B72" s="1">
        <v>45662</v>
      </c>
      <c r="C72" t="s">
        <v>158</v>
      </c>
      <c r="D72" t="s">
        <v>158</v>
      </c>
      <c r="E72">
        <v>30</v>
      </c>
      <c r="F72">
        <v>30</v>
      </c>
    </row>
    <row r="73" spans="1:8" x14ac:dyDescent="0.25">
      <c r="A73" t="s">
        <v>168</v>
      </c>
      <c r="B73" s="1">
        <v>45662</v>
      </c>
      <c r="C73" t="s">
        <v>208</v>
      </c>
      <c r="D73" t="s">
        <v>158</v>
      </c>
      <c r="E73">
        <v>30</v>
      </c>
      <c r="F73">
        <v>3000</v>
      </c>
    </row>
    <row r="74" spans="1:8" x14ac:dyDescent="0.25">
      <c r="A74" t="s">
        <v>168</v>
      </c>
      <c r="B74" s="1">
        <v>45662</v>
      </c>
      <c r="C74" t="s">
        <v>173</v>
      </c>
      <c r="D74" t="s">
        <v>158</v>
      </c>
      <c r="E74">
        <v>30</v>
      </c>
      <c r="F74">
        <v>1500</v>
      </c>
    </row>
    <row r="75" spans="1:8" x14ac:dyDescent="0.25">
      <c r="A75" t="s">
        <v>168</v>
      </c>
      <c r="B75" s="1">
        <v>45662</v>
      </c>
      <c r="C75" t="s">
        <v>173</v>
      </c>
      <c r="D75" t="s">
        <v>158</v>
      </c>
      <c r="E75">
        <v>30</v>
      </c>
      <c r="F75">
        <v>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sheetData>
    <row r="1" spans="1:8" x14ac:dyDescent="0.25">
      <c r="A1" t="s">
        <v>245</v>
      </c>
      <c r="B1" t="s">
        <v>245</v>
      </c>
      <c r="C1" t="s">
        <v>245</v>
      </c>
      <c r="D1" t="s">
        <v>245</v>
      </c>
      <c r="E1" t="s">
        <v>245</v>
      </c>
      <c r="F1" t="s">
        <v>245</v>
      </c>
      <c r="G1" t="s">
        <v>245</v>
      </c>
      <c r="H1" t="s">
        <v>245</v>
      </c>
    </row>
    <row r="2" spans="1:8" x14ac:dyDescent="0.25">
      <c r="A2" t="s">
        <v>255</v>
      </c>
      <c r="B2" t="s">
        <v>255</v>
      </c>
      <c r="D2" t="s">
        <v>256</v>
      </c>
      <c r="E2" t="s">
        <v>256</v>
      </c>
      <c r="G2" t="s">
        <v>257</v>
      </c>
    </row>
    <row r="3" spans="1:8" x14ac:dyDescent="0.25">
      <c r="A3" t="e">
        <v>#VALUE!</v>
      </c>
      <c r="B3" t="e">
        <v>#VALUE!</v>
      </c>
      <c r="C3" t="e">
        <v>#VALUE!</v>
      </c>
      <c r="D3" t="s">
        <v>249</v>
      </c>
      <c r="E3" t="s">
        <v>249</v>
      </c>
      <c r="F3" t="s">
        <v>249</v>
      </c>
      <c r="G3" t="s">
        <v>249</v>
      </c>
    </row>
    <row r="4" spans="1:8" x14ac:dyDescent="0.25">
      <c r="A4" t="s">
        <v>251</v>
      </c>
      <c r="B4" t="s">
        <v>159</v>
      </c>
      <c r="C4" t="s">
        <v>157</v>
      </c>
      <c r="D4" t="s">
        <v>157</v>
      </c>
      <c r="E4" t="s">
        <v>160</v>
      </c>
      <c r="F4" t="s">
        <v>259</v>
      </c>
      <c r="G4" t="s">
        <v>176</v>
      </c>
      <c r="H4" t="s">
        <v>254</v>
      </c>
    </row>
    <row r="5" spans="1:8" x14ac:dyDescent="0.25">
      <c r="A5" t="s">
        <v>167</v>
      </c>
      <c r="B5" s="1">
        <v>45664</v>
      </c>
      <c r="C5" t="s">
        <v>180</v>
      </c>
      <c r="D5" t="s">
        <v>158</v>
      </c>
      <c r="E5">
        <v>24</v>
      </c>
      <c r="F5">
        <v>2400</v>
      </c>
    </row>
    <row r="6" spans="1:8" x14ac:dyDescent="0.25">
      <c r="A6" t="s">
        <v>167</v>
      </c>
      <c r="B6" s="1">
        <v>45664</v>
      </c>
      <c r="C6" t="s">
        <v>184</v>
      </c>
      <c r="D6" t="s">
        <v>158</v>
      </c>
      <c r="E6">
        <v>25</v>
      </c>
      <c r="F6">
        <v>1250</v>
      </c>
    </row>
    <row r="7" spans="1:8" x14ac:dyDescent="0.25">
      <c r="A7" t="s">
        <v>167</v>
      </c>
      <c r="B7" s="1">
        <v>45664</v>
      </c>
      <c r="C7" t="s">
        <v>193</v>
      </c>
      <c r="D7" t="s">
        <v>174</v>
      </c>
      <c r="E7">
        <v>1</v>
      </c>
      <c r="F7">
        <v>100</v>
      </c>
      <c r="G7" t="s">
        <v>182</v>
      </c>
    </row>
    <row r="8" spans="1:8" x14ac:dyDescent="0.25">
      <c r="A8" t="s">
        <v>167</v>
      </c>
      <c r="B8" s="1">
        <v>45664</v>
      </c>
      <c r="C8" t="s">
        <v>184</v>
      </c>
      <c r="D8" t="s">
        <v>158</v>
      </c>
      <c r="E8">
        <v>25</v>
      </c>
      <c r="F8">
        <v>25</v>
      </c>
    </row>
    <row r="9" spans="1:8" x14ac:dyDescent="0.25">
      <c r="A9" t="s">
        <v>167</v>
      </c>
      <c r="B9" s="1">
        <v>45664</v>
      </c>
      <c r="C9" t="s">
        <v>215</v>
      </c>
      <c r="D9" t="s">
        <v>174</v>
      </c>
      <c r="E9">
        <v>1</v>
      </c>
      <c r="F9">
        <v>140</v>
      </c>
      <c r="G9" t="s">
        <v>214</v>
      </c>
    </row>
    <row r="10" spans="1:8" x14ac:dyDescent="0.25">
      <c r="A10" t="s">
        <v>167</v>
      </c>
      <c r="B10" s="1">
        <v>45664</v>
      </c>
      <c r="C10" t="s">
        <v>215</v>
      </c>
      <c r="D10" t="s">
        <v>174</v>
      </c>
      <c r="E10">
        <v>1</v>
      </c>
      <c r="F10">
        <v>140</v>
      </c>
      <c r="G10" t="s">
        <v>216</v>
      </c>
    </row>
    <row r="11" spans="1:8" x14ac:dyDescent="0.25">
      <c r="A11" t="s">
        <v>167</v>
      </c>
      <c r="B11" s="1">
        <v>45664</v>
      </c>
      <c r="C11" t="s">
        <v>219</v>
      </c>
      <c r="D11" t="s">
        <v>158</v>
      </c>
      <c r="E11">
        <v>23</v>
      </c>
      <c r="F11">
        <v>3220</v>
      </c>
    </row>
    <row r="12" spans="1:8" x14ac:dyDescent="0.25">
      <c r="A12" t="s">
        <v>167</v>
      </c>
      <c r="B12" s="1">
        <v>45664</v>
      </c>
      <c r="C12" t="s">
        <v>227</v>
      </c>
      <c r="D12" t="s">
        <v>158</v>
      </c>
      <c r="E12">
        <v>25</v>
      </c>
      <c r="F12">
        <v>100</v>
      </c>
    </row>
    <row r="13" spans="1:8" x14ac:dyDescent="0.25">
      <c r="A13" t="s">
        <v>167</v>
      </c>
      <c r="B13" s="1">
        <v>45665</v>
      </c>
      <c r="C13" t="s">
        <v>183</v>
      </c>
      <c r="D13" t="s">
        <v>174</v>
      </c>
      <c r="E13">
        <v>1</v>
      </c>
      <c r="F13">
        <v>250</v>
      </c>
      <c r="G13" t="s">
        <v>182</v>
      </c>
    </row>
    <row r="14" spans="1:8" x14ac:dyDescent="0.25">
      <c r="A14" t="s">
        <v>167</v>
      </c>
      <c r="B14" s="1">
        <v>45665</v>
      </c>
      <c r="C14" t="s">
        <v>159</v>
      </c>
      <c r="D14" t="s">
        <v>158</v>
      </c>
      <c r="E14">
        <v>26</v>
      </c>
      <c r="F14">
        <v>6500</v>
      </c>
    </row>
    <row r="15" spans="1:8" x14ac:dyDescent="0.25">
      <c r="A15" t="s">
        <v>167</v>
      </c>
      <c r="B15" s="1">
        <v>45665</v>
      </c>
      <c r="C15" t="s">
        <v>195</v>
      </c>
      <c r="D15" t="s">
        <v>158</v>
      </c>
      <c r="E15">
        <v>28</v>
      </c>
      <c r="F15">
        <v>28</v>
      </c>
    </row>
    <row r="16" spans="1:8" x14ac:dyDescent="0.25">
      <c r="A16" t="s">
        <v>167</v>
      </c>
      <c r="B16" s="1">
        <v>45665</v>
      </c>
      <c r="C16" t="s">
        <v>173</v>
      </c>
      <c r="D16" t="s">
        <v>158</v>
      </c>
      <c r="E16">
        <v>28</v>
      </c>
      <c r="F16">
        <v>2800</v>
      </c>
    </row>
    <row r="17" spans="1:8" x14ac:dyDescent="0.25">
      <c r="A17" t="s">
        <v>167</v>
      </c>
      <c r="B17" s="1">
        <v>45665</v>
      </c>
      <c r="C17" t="s">
        <v>195</v>
      </c>
      <c r="D17" t="s">
        <v>174</v>
      </c>
      <c r="E17">
        <v>1</v>
      </c>
      <c r="F17">
        <v>250</v>
      </c>
      <c r="G17" t="s">
        <v>175</v>
      </c>
    </row>
    <row r="18" spans="1:8" x14ac:dyDescent="0.25">
      <c r="A18" t="s">
        <v>167</v>
      </c>
      <c r="B18" s="1">
        <v>45665</v>
      </c>
      <c r="C18" t="s">
        <v>228</v>
      </c>
      <c r="D18" t="s">
        <v>158</v>
      </c>
      <c r="E18">
        <v>28</v>
      </c>
      <c r="F18">
        <v>28</v>
      </c>
    </row>
    <row r="19" spans="1:8" x14ac:dyDescent="0.25">
      <c r="A19" t="s">
        <v>167</v>
      </c>
      <c r="B19" s="1">
        <v>45666</v>
      </c>
      <c r="C19" t="s">
        <v>171</v>
      </c>
      <c r="D19" t="s">
        <v>158</v>
      </c>
      <c r="E19">
        <v>22</v>
      </c>
      <c r="F19">
        <v>2640</v>
      </c>
    </row>
    <row r="20" spans="1:8" x14ac:dyDescent="0.25">
      <c r="A20" t="s">
        <v>167</v>
      </c>
      <c r="B20" s="1">
        <v>45666</v>
      </c>
      <c r="C20" t="s">
        <v>193</v>
      </c>
      <c r="D20" t="s">
        <v>174</v>
      </c>
      <c r="E20">
        <v>1</v>
      </c>
      <c r="F20">
        <v>90</v>
      </c>
      <c r="G20" t="s">
        <v>182</v>
      </c>
    </row>
    <row r="21" spans="1:8" x14ac:dyDescent="0.25">
      <c r="A21" t="s">
        <v>167</v>
      </c>
      <c r="B21" s="1">
        <v>45666</v>
      </c>
      <c r="C21" t="s">
        <v>194</v>
      </c>
      <c r="D21" t="s">
        <v>158</v>
      </c>
      <c r="E21">
        <v>22</v>
      </c>
      <c r="F21">
        <v>22</v>
      </c>
    </row>
    <row r="22" spans="1:8" x14ac:dyDescent="0.25">
      <c r="A22" t="s">
        <v>167</v>
      </c>
      <c r="B22" s="1">
        <v>45666</v>
      </c>
      <c r="C22" t="s">
        <v>158</v>
      </c>
      <c r="D22" t="s">
        <v>158</v>
      </c>
      <c r="E22">
        <v>22</v>
      </c>
      <c r="F22">
        <v>1100</v>
      </c>
    </row>
    <row r="23" spans="1:8" x14ac:dyDescent="0.25">
      <c r="A23" t="s">
        <v>167</v>
      </c>
      <c r="B23" s="1">
        <v>45666</v>
      </c>
      <c r="C23" t="s">
        <v>208</v>
      </c>
      <c r="D23" t="s">
        <v>158</v>
      </c>
      <c r="E23">
        <v>21</v>
      </c>
      <c r="F23">
        <v>1890</v>
      </c>
    </row>
    <row r="24" spans="1:8" x14ac:dyDescent="0.25">
      <c r="A24" t="s">
        <v>167</v>
      </c>
      <c r="B24" s="1">
        <v>45666</v>
      </c>
      <c r="C24" t="s">
        <v>218</v>
      </c>
      <c r="D24" t="s">
        <v>174</v>
      </c>
      <c r="E24">
        <v>1</v>
      </c>
      <c r="F24">
        <v>100</v>
      </c>
      <c r="G24" t="s">
        <v>182</v>
      </c>
    </row>
    <row r="25" spans="1:8" x14ac:dyDescent="0.25">
      <c r="A25" t="s">
        <v>167</v>
      </c>
      <c r="B25" s="1">
        <v>45666</v>
      </c>
      <c r="C25" t="s">
        <v>221</v>
      </c>
      <c r="D25" t="s">
        <v>158</v>
      </c>
      <c r="E25">
        <v>21</v>
      </c>
      <c r="F25">
        <v>2100</v>
      </c>
    </row>
    <row r="26" spans="1:8" x14ac:dyDescent="0.25">
      <c r="C26" t="s">
        <v>260</v>
      </c>
      <c r="F26" t="s">
        <v>261</v>
      </c>
    </row>
    <row r="27" spans="1:8" x14ac:dyDescent="0.25">
      <c r="A27" t="s">
        <v>262</v>
      </c>
      <c r="B27" t="s">
        <v>262</v>
      </c>
      <c r="C27" t="s">
        <v>262</v>
      </c>
      <c r="D27" t="s">
        <v>262</v>
      </c>
      <c r="E27" t="s">
        <v>262</v>
      </c>
      <c r="F27" t="s">
        <v>262</v>
      </c>
      <c r="G27" t="s">
        <v>262</v>
      </c>
      <c r="H27" t="s">
        <v>262</v>
      </c>
    </row>
    <row r="28" spans="1:8" x14ac:dyDescent="0.25">
      <c r="A28" t="s">
        <v>255</v>
      </c>
      <c r="B28" t="s">
        <v>255</v>
      </c>
      <c r="D28" t="s">
        <v>256</v>
      </c>
      <c r="E28" t="s">
        <v>256</v>
      </c>
      <c r="G28" t="s">
        <v>257</v>
      </c>
    </row>
    <row r="29" spans="1:8" x14ac:dyDescent="0.25">
      <c r="A29" t="e">
        <v>#VALUE!</v>
      </c>
      <c r="B29" t="e">
        <v>#VALUE!</v>
      </c>
      <c r="C29" t="e">
        <v>#VALUE!</v>
      </c>
      <c r="D29" t="s">
        <v>249</v>
      </c>
      <c r="E29" t="s">
        <v>249</v>
      </c>
      <c r="F29" t="s">
        <v>249</v>
      </c>
      <c r="G29" t="s">
        <v>249</v>
      </c>
      <c r="H29" t="s">
        <v>263</v>
      </c>
    </row>
    <row r="30" spans="1:8" x14ac:dyDescent="0.25">
      <c r="A30" t="s">
        <v>251</v>
      </c>
      <c r="B30" t="s">
        <v>159</v>
      </c>
      <c r="C30" t="s">
        <v>157</v>
      </c>
      <c r="D30" t="s">
        <v>157</v>
      </c>
      <c r="E30" t="s">
        <v>160</v>
      </c>
      <c r="F30" t="s">
        <v>259</v>
      </c>
      <c r="G30" t="s">
        <v>176</v>
      </c>
      <c r="H30" t="s">
        <v>254</v>
      </c>
    </row>
    <row r="31" spans="1:8" x14ac:dyDescent="0.25">
      <c r="A31" t="s">
        <v>163</v>
      </c>
      <c r="B31" s="1">
        <v>45664</v>
      </c>
      <c r="C31" t="s">
        <v>180</v>
      </c>
      <c r="D31" t="s">
        <v>158</v>
      </c>
      <c r="E31">
        <v>21</v>
      </c>
      <c r="F31">
        <v>2100</v>
      </c>
    </row>
    <row r="32" spans="1:8" x14ac:dyDescent="0.25">
      <c r="A32" t="s">
        <v>163</v>
      </c>
      <c r="B32" s="1">
        <v>45664</v>
      </c>
      <c r="C32" t="s">
        <v>184</v>
      </c>
      <c r="D32" t="s">
        <v>158</v>
      </c>
      <c r="E32">
        <v>21</v>
      </c>
      <c r="F32">
        <v>1050</v>
      </c>
    </row>
    <row r="33" spans="1:8" x14ac:dyDescent="0.25">
      <c r="A33" t="s">
        <v>163</v>
      </c>
      <c r="B33" s="1">
        <v>45664</v>
      </c>
      <c r="C33" t="s">
        <v>184</v>
      </c>
      <c r="D33" t="s">
        <v>158</v>
      </c>
      <c r="E33">
        <v>21</v>
      </c>
      <c r="F33">
        <v>21</v>
      </c>
    </row>
    <row r="34" spans="1:8" x14ac:dyDescent="0.25">
      <c r="A34" t="s">
        <v>163</v>
      </c>
      <c r="B34" s="1">
        <v>45664</v>
      </c>
      <c r="C34" t="s">
        <v>219</v>
      </c>
      <c r="D34" t="s">
        <v>158</v>
      </c>
      <c r="E34">
        <v>21</v>
      </c>
      <c r="F34">
        <v>2940</v>
      </c>
    </row>
    <row r="35" spans="1:8" x14ac:dyDescent="0.25">
      <c r="A35" t="s">
        <v>163</v>
      </c>
      <c r="B35" s="1">
        <v>45664</v>
      </c>
      <c r="C35" t="s">
        <v>227</v>
      </c>
      <c r="D35" t="s">
        <v>158</v>
      </c>
      <c r="E35">
        <v>21</v>
      </c>
      <c r="F35">
        <v>84</v>
      </c>
    </row>
    <row r="36" spans="1:8" x14ac:dyDescent="0.25">
      <c r="A36" t="s">
        <v>163</v>
      </c>
      <c r="B36" s="1">
        <v>45665</v>
      </c>
      <c r="C36" t="s">
        <v>159</v>
      </c>
      <c r="D36" t="s">
        <v>158</v>
      </c>
      <c r="E36">
        <v>20</v>
      </c>
      <c r="F36">
        <v>5000</v>
      </c>
    </row>
    <row r="37" spans="1:8" x14ac:dyDescent="0.25">
      <c r="A37" t="s">
        <v>163</v>
      </c>
      <c r="B37" s="1">
        <v>45665</v>
      </c>
      <c r="C37" t="s">
        <v>195</v>
      </c>
      <c r="D37" t="s">
        <v>158</v>
      </c>
      <c r="E37">
        <v>20</v>
      </c>
      <c r="F37">
        <v>20</v>
      </c>
    </row>
    <row r="38" spans="1:8" x14ac:dyDescent="0.25">
      <c r="A38" t="s">
        <v>163</v>
      </c>
      <c r="B38" s="1">
        <v>45665</v>
      </c>
      <c r="C38" t="s">
        <v>173</v>
      </c>
      <c r="D38" t="s">
        <v>158</v>
      </c>
      <c r="E38">
        <v>20</v>
      </c>
      <c r="F38">
        <v>2000</v>
      </c>
    </row>
    <row r="39" spans="1:8" x14ac:dyDescent="0.25">
      <c r="A39" t="s">
        <v>163</v>
      </c>
      <c r="B39" s="1">
        <v>45665</v>
      </c>
      <c r="C39" t="s">
        <v>228</v>
      </c>
      <c r="D39" t="s">
        <v>158</v>
      </c>
      <c r="E39">
        <v>20</v>
      </c>
      <c r="F39">
        <v>20</v>
      </c>
    </row>
    <row r="40" spans="1:8" x14ac:dyDescent="0.25">
      <c r="A40" t="s">
        <v>163</v>
      </c>
      <c r="B40" s="1">
        <v>45666</v>
      </c>
      <c r="C40" t="s">
        <v>171</v>
      </c>
      <c r="D40" t="s">
        <v>158</v>
      </c>
      <c r="E40">
        <v>20</v>
      </c>
      <c r="F40">
        <v>2400</v>
      </c>
    </row>
    <row r="41" spans="1:8" x14ac:dyDescent="0.25">
      <c r="A41" t="s">
        <v>163</v>
      </c>
      <c r="B41" s="1">
        <v>45666</v>
      </c>
      <c r="C41" t="s">
        <v>194</v>
      </c>
      <c r="D41" t="s">
        <v>158</v>
      </c>
      <c r="E41">
        <v>20</v>
      </c>
      <c r="F41">
        <v>20</v>
      </c>
    </row>
    <row r="42" spans="1:8" x14ac:dyDescent="0.25">
      <c r="A42" t="s">
        <v>163</v>
      </c>
      <c r="B42" s="1">
        <v>45666</v>
      </c>
      <c r="C42" t="s">
        <v>158</v>
      </c>
      <c r="D42" t="s">
        <v>158</v>
      </c>
      <c r="E42">
        <v>20</v>
      </c>
      <c r="F42">
        <v>1000</v>
      </c>
    </row>
    <row r="43" spans="1:8" x14ac:dyDescent="0.25">
      <c r="A43" t="s">
        <v>163</v>
      </c>
      <c r="B43" s="1">
        <v>45666</v>
      </c>
      <c r="C43" t="s">
        <v>208</v>
      </c>
      <c r="D43" t="s">
        <v>158</v>
      </c>
      <c r="E43">
        <v>20</v>
      </c>
      <c r="F43">
        <v>2000</v>
      </c>
    </row>
    <row r="44" spans="1:8" x14ac:dyDescent="0.25">
      <c r="A44" t="s">
        <v>163</v>
      </c>
      <c r="B44" s="1">
        <v>45666</v>
      </c>
      <c r="C44" t="s">
        <v>221</v>
      </c>
      <c r="D44" t="s">
        <v>158</v>
      </c>
      <c r="E44">
        <v>20</v>
      </c>
      <c r="F44">
        <v>2000</v>
      </c>
    </row>
    <row r="45" spans="1:8" x14ac:dyDescent="0.25">
      <c r="C45" t="s">
        <v>260</v>
      </c>
      <c r="F45" t="s">
        <v>261</v>
      </c>
    </row>
    <row r="46" spans="1:8" x14ac:dyDescent="0.25">
      <c r="A46" t="s">
        <v>262</v>
      </c>
      <c r="B46" t="s">
        <v>262</v>
      </c>
      <c r="C46" t="s">
        <v>262</v>
      </c>
      <c r="D46" t="s">
        <v>262</v>
      </c>
      <c r="E46" t="s">
        <v>262</v>
      </c>
      <c r="F46" t="s">
        <v>262</v>
      </c>
      <c r="G46" t="s">
        <v>262</v>
      </c>
      <c r="H46" t="s">
        <v>262</v>
      </c>
    </row>
    <row r="47" spans="1:8" x14ac:dyDescent="0.25">
      <c r="A47" t="s">
        <v>255</v>
      </c>
      <c r="B47" t="s">
        <v>255</v>
      </c>
      <c r="D47" t="s">
        <v>256</v>
      </c>
      <c r="E47" t="s">
        <v>256</v>
      </c>
      <c r="G47" t="s">
        <v>257</v>
      </c>
    </row>
    <row r="48" spans="1:8" x14ac:dyDescent="0.25">
      <c r="A48" t="e">
        <v>#VALUE!</v>
      </c>
      <c r="B48" t="e">
        <v>#VALUE!</v>
      </c>
      <c r="C48" t="e">
        <v>#VALUE!</v>
      </c>
      <c r="D48" t="s">
        <v>249</v>
      </c>
      <c r="E48" t="s">
        <v>249</v>
      </c>
      <c r="F48" t="s">
        <v>249</v>
      </c>
      <c r="G48" t="s">
        <v>249</v>
      </c>
      <c r="H48" t="s">
        <v>263</v>
      </c>
    </row>
    <row r="49" spans="1:8" x14ac:dyDescent="0.25">
      <c r="A49" t="s">
        <v>251</v>
      </c>
      <c r="B49" t="s">
        <v>159</v>
      </c>
      <c r="C49" t="s">
        <v>157</v>
      </c>
      <c r="D49" t="s">
        <v>157</v>
      </c>
      <c r="E49" t="s">
        <v>160</v>
      </c>
      <c r="F49" t="s">
        <v>259</v>
      </c>
      <c r="G49" t="s">
        <v>176</v>
      </c>
      <c r="H49" t="s">
        <v>254</v>
      </c>
    </row>
    <row r="50" spans="1:8" x14ac:dyDescent="0.25">
      <c r="A50" t="s">
        <v>164</v>
      </c>
      <c r="B50" s="1">
        <v>45664</v>
      </c>
      <c r="C50" t="s">
        <v>180</v>
      </c>
      <c r="D50" t="s">
        <v>158</v>
      </c>
      <c r="E50">
        <v>19</v>
      </c>
      <c r="F50">
        <v>1900</v>
      </c>
    </row>
    <row r="51" spans="1:8" x14ac:dyDescent="0.25">
      <c r="A51" t="s">
        <v>164</v>
      </c>
      <c r="B51" s="1">
        <v>45664</v>
      </c>
      <c r="C51" t="s">
        <v>184</v>
      </c>
      <c r="D51" t="s">
        <v>158</v>
      </c>
      <c r="E51">
        <v>19</v>
      </c>
      <c r="F51">
        <v>950</v>
      </c>
    </row>
    <row r="52" spans="1:8" x14ac:dyDescent="0.25">
      <c r="A52" t="s">
        <v>164</v>
      </c>
      <c r="B52" s="1">
        <v>45664</v>
      </c>
      <c r="C52" t="s">
        <v>184</v>
      </c>
      <c r="D52" t="s">
        <v>158</v>
      </c>
      <c r="E52">
        <v>19</v>
      </c>
      <c r="F52">
        <v>19</v>
      </c>
    </row>
    <row r="53" spans="1:8" x14ac:dyDescent="0.25">
      <c r="A53" t="s">
        <v>164</v>
      </c>
      <c r="B53" s="1">
        <v>45664</v>
      </c>
      <c r="C53" t="s">
        <v>219</v>
      </c>
      <c r="D53" t="s">
        <v>158</v>
      </c>
      <c r="E53">
        <v>19</v>
      </c>
      <c r="F53">
        <v>2660</v>
      </c>
    </row>
    <row r="54" spans="1:8" x14ac:dyDescent="0.25">
      <c r="A54" t="s">
        <v>164</v>
      </c>
      <c r="B54" s="1">
        <v>45664</v>
      </c>
      <c r="C54" t="s">
        <v>227</v>
      </c>
      <c r="D54" t="s">
        <v>158</v>
      </c>
      <c r="E54">
        <v>19</v>
      </c>
      <c r="F54">
        <v>76</v>
      </c>
    </row>
    <row r="55" spans="1:8" x14ac:dyDescent="0.25">
      <c r="A55" t="s">
        <v>164</v>
      </c>
      <c r="B55" s="1">
        <v>45665</v>
      </c>
      <c r="C55" t="s">
        <v>159</v>
      </c>
      <c r="D55" t="s">
        <v>158</v>
      </c>
      <c r="E55">
        <v>20</v>
      </c>
      <c r="F55">
        <v>5000</v>
      </c>
    </row>
    <row r="56" spans="1:8" x14ac:dyDescent="0.25">
      <c r="A56" t="s">
        <v>164</v>
      </c>
      <c r="B56" s="1">
        <v>45665</v>
      </c>
      <c r="C56" t="s">
        <v>195</v>
      </c>
      <c r="D56" t="s">
        <v>158</v>
      </c>
      <c r="E56">
        <v>21</v>
      </c>
      <c r="F56">
        <v>21</v>
      </c>
    </row>
    <row r="57" spans="1:8" x14ac:dyDescent="0.25">
      <c r="A57" t="s">
        <v>164</v>
      </c>
      <c r="B57" s="1">
        <v>45665</v>
      </c>
      <c r="C57" t="s">
        <v>173</v>
      </c>
      <c r="D57" t="s">
        <v>158</v>
      </c>
      <c r="E57">
        <v>21</v>
      </c>
      <c r="F57">
        <v>2100</v>
      </c>
    </row>
    <row r="58" spans="1:8" x14ac:dyDescent="0.25">
      <c r="A58" t="s">
        <v>164</v>
      </c>
      <c r="B58" s="1">
        <v>45665</v>
      </c>
      <c r="C58" t="s">
        <v>195</v>
      </c>
      <c r="D58" t="s">
        <v>174</v>
      </c>
      <c r="E58">
        <v>1</v>
      </c>
      <c r="F58">
        <v>250</v>
      </c>
      <c r="G58" t="s">
        <v>175</v>
      </c>
    </row>
    <row r="59" spans="1:8" x14ac:dyDescent="0.25">
      <c r="A59" t="s">
        <v>164</v>
      </c>
      <c r="B59" s="1">
        <v>45665</v>
      </c>
      <c r="C59" t="s">
        <v>228</v>
      </c>
      <c r="D59" t="s">
        <v>158</v>
      </c>
      <c r="E59">
        <v>21</v>
      </c>
      <c r="F59">
        <v>21</v>
      </c>
    </row>
    <row r="60" spans="1:8" x14ac:dyDescent="0.25">
      <c r="A60" t="s">
        <v>164</v>
      </c>
      <c r="B60" s="1">
        <v>45666</v>
      </c>
      <c r="C60" t="s">
        <v>171</v>
      </c>
      <c r="D60" t="s">
        <v>158</v>
      </c>
      <c r="E60">
        <v>21</v>
      </c>
      <c r="F60">
        <v>2520</v>
      </c>
    </row>
    <row r="61" spans="1:8" x14ac:dyDescent="0.25">
      <c r="A61" t="s">
        <v>164</v>
      </c>
      <c r="B61" s="1">
        <v>45666</v>
      </c>
      <c r="C61" t="s">
        <v>171</v>
      </c>
      <c r="D61" t="s">
        <v>174</v>
      </c>
      <c r="E61">
        <v>1</v>
      </c>
      <c r="F61">
        <v>120</v>
      </c>
      <c r="G61" t="s">
        <v>108</v>
      </c>
    </row>
    <row r="62" spans="1:8" x14ac:dyDescent="0.25">
      <c r="A62" t="s">
        <v>164</v>
      </c>
      <c r="B62" s="1">
        <v>45666</v>
      </c>
      <c r="C62" t="s">
        <v>194</v>
      </c>
      <c r="D62" t="s">
        <v>158</v>
      </c>
      <c r="E62">
        <v>21</v>
      </c>
      <c r="F62">
        <v>21</v>
      </c>
    </row>
    <row r="63" spans="1:8" x14ac:dyDescent="0.25">
      <c r="A63" t="s">
        <v>164</v>
      </c>
      <c r="B63" s="1">
        <v>45666</v>
      </c>
      <c r="C63" t="s">
        <v>200</v>
      </c>
      <c r="D63" t="s">
        <v>174</v>
      </c>
      <c r="E63">
        <v>1</v>
      </c>
      <c r="F63">
        <v>1</v>
      </c>
      <c r="G63" t="s">
        <v>83</v>
      </c>
    </row>
    <row r="64" spans="1:8" x14ac:dyDescent="0.25">
      <c r="A64" t="s">
        <v>164</v>
      </c>
      <c r="B64" s="1">
        <v>45666</v>
      </c>
      <c r="C64" t="s">
        <v>158</v>
      </c>
      <c r="D64" t="s">
        <v>158</v>
      </c>
      <c r="E64">
        <v>21</v>
      </c>
      <c r="F64">
        <v>1050</v>
      </c>
      <c r="G64" t="s">
        <v>224</v>
      </c>
    </row>
    <row r="65" spans="1:8" x14ac:dyDescent="0.25">
      <c r="A65" t="s">
        <v>164</v>
      </c>
      <c r="B65" s="1">
        <v>45666</v>
      </c>
      <c r="C65" t="s">
        <v>208</v>
      </c>
      <c r="D65" t="s">
        <v>158</v>
      </c>
      <c r="E65">
        <v>22</v>
      </c>
      <c r="F65">
        <v>1980</v>
      </c>
    </row>
    <row r="66" spans="1:8" x14ac:dyDescent="0.25">
      <c r="A66" t="s">
        <v>164</v>
      </c>
      <c r="B66" s="1">
        <v>45666</v>
      </c>
      <c r="C66" t="s">
        <v>221</v>
      </c>
      <c r="D66" t="s">
        <v>158</v>
      </c>
      <c r="E66">
        <v>22</v>
      </c>
      <c r="F66">
        <v>2200</v>
      </c>
    </row>
    <row r="67" spans="1:8" x14ac:dyDescent="0.25">
      <c r="A67" t="s">
        <v>172</v>
      </c>
      <c r="B67" s="1">
        <v>45667</v>
      </c>
      <c r="C67" t="s">
        <v>171</v>
      </c>
      <c r="D67" t="s">
        <v>158</v>
      </c>
      <c r="E67">
        <v>7</v>
      </c>
      <c r="F67">
        <v>840</v>
      </c>
    </row>
    <row r="68" spans="1:8" x14ac:dyDescent="0.25">
      <c r="A68" t="s">
        <v>172</v>
      </c>
      <c r="B68" s="1">
        <v>45667</v>
      </c>
      <c r="C68" t="s">
        <v>171</v>
      </c>
      <c r="D68" t="s">
        <v>174</v>
      </c>
      <c r="E68">
        <v>1</v>
      </c>
      <c r="F68">
        <v>120</v>
      </c>
      <c r="G68" t="s">
        <v>175</v>
      </c>
    </row>
    <row r="69" spans="1:8" x14ac:dyDescent="0.25">
      <c r="A69" t="s">
        <v>172</v>
      </c>
      <c r="B69" s="1">
        <v>45667</v>
      </c>
      <c r="C69" t="s">
        <v>194</v>
      </c>
      <c r="D69" t="s">
        <v>158</v>
      </c>
      <c r="E69">
        <v>8</v>
      </c>
      <c r="F69">
        <v>8</v>
      </c>
    </row>
    <row r="70" spans="1:8" x14ac:dyDescent="0.25">
      <c r="A70" t="s">
        <v>172</v>
      </c>
      <c r="B70" s="1">
        <v>45667</v>
      </c>
      <c r="C70" t="s">
        <v>158</v>
      </c>
      <c r="D70" t="s">
        <v>158</v>
      </c>
      <c r="E70">
        <v>8</v>
      </c>
      <c r="F70">
        <v>400</v>
      </c>
    </row>
    <row r="71" spans="1:8" x14ac:dyDescent="0.25">
      <c r="A71" t="s">
        <v>172</v>
      </c>
      <c r="B71" s="1">
        <v>45667</v>
      </c>
      <c r="C71" t="s">
        <v>208</v>
      </c>
      <c r="D71" t="s">
        <v>158</v>
      </c>
      <c r="E71">
        <v>8</v>
      </c>
      <c r="F71">
        <v>800</v>
      </c>
    </row>
    <row r="72" spans="1:8" x14ac:dyDescent="0.25">
      <c r="A72" t="s">
        <v>172</v>
      </c>
      <c r="B72" s="1">
        <v>45667</v>
      </c>
      <c r="C72" t="s">
        <v>221</v>
      </c>
      <c r="D72" t="s">
        <v>158</v>
      </c>
      <c r="E72">
        <v>8</v>
      </c>
      <c r="F72">
        <v>800</v>
      </c>
    </row>
    <row r="73" spans="1:8" x14ac:dyDescent="0.25">
      <c r="C73" t="s">
        <v>260</v>
      </c>
      <c r="F73" t="s">
        <v>261</v>
      </c>
    </row>
    <row r="74" spans="1:8" x14ac:dyDescent="0.25">
      <c r="A74" t="s">
        <v>262</v>
      </c>
      <c r="B74" t="s">
        <v>262</v>
      </c>
      <c r="C74" t="s">
        <v>262</v>
      </c>
      <c r="D74" t="s">
        <v>262</v>
      </c>
      <c r="E74" t="s">
        <v>262</v>
      </c>
      <c r="F74" t="s">
        <v>262</v>
      </c>
      <c r="G74" t="s">
        <v>262</v>
      </c>
      <c r="H74" t="s">
        <v>262</v>
      </c>
    </row>
    <row r="75" spans="1:8" x14ac:dyDescent="0.25">
      <c r="A75" t="s">
        <v>255</v>
      </c>
      <c r="B75" t="s">
        <v>255</v>
      </c>
      <c r="D75" t="s">
        <v>256</v>
      </c>
      <c r="E75" t="s">
        <v>256</v>
      </c>
      <c r="G75" t="s">
        <v>257</v>
      </c>
    </row>
    <row r="76" spans="1:8" x14ac:dyDescent="0.25">
      <c r="A76" t="e">
        <v>#VALUE!</v>
      </c>
      <c r="B76" t="e">
        <v>#VALUE!</v>
      </c>
      <c r="C76" t="e">
        <v>#VALUE!</v>
      </c>
      <c r="D76" t="s">
        <v>249</v>
      </c>
      <c r="E76" t="s">
        <v>249</v>
      </c>
      <c r="F76" t="s">
        <v>249</v>
      </c>
      <c r="G76" t="s">
        <v>249</v>
      </c>
      <c r="H76" t="s">
        <v>263</v>
      </c>
    </row>
    <row r="77" spans="1:8" x14ac:dyDescent="0.25">
      <c r="A77" t="s">
        <v>251</v>
      </c>
      <c r="B77" t="s">
        <v>159</v>
      </c>
      <c r="C77" t="s">
        <v>157</v>
      </c>
      <c r="D77" t="s">
        <v>157</v>
      </c>
      <c r="E77" t="s">
        <v>160</v>
      </c>
      <c r="F77" t="s">
        <v>259</v>
      </c>
      <c r="G77" t="s">
        <v>176</v>
      </c>
      <c r="H77" t="s">
        <v>254</v>
      </c>
    </row>
    <row r="78" spans="1:8" x14ac:dyDescent="0.25">
      <c r="A78" t="s">
        <v>168</v>
      </c>
      <c r="B78" s="1">
        <v>45664</v>
      </c>
      <c r="C78" t="s">
        <v>180</v>
      </c>
      <c r="D78" t="s">
        <v>158</v>
      </c>
      <c r="E78">
        <v>50</v>
      </c>
      <c r="F78">
        <v>5000</v>
      </c>
    </row>
    <row r="79" spans="1:8" x14ac:dyDescent="0.25">
      <c r="A79" t="s">
        <v>168</v>
      </c>
      <c r="B79" s="1">
        <v>45664</v>
      </c>
      <c r="C79" t="s">
        <v>184</v>
      </c>
      <c r="D79" t="s">
        <v>158</v>
      </c>
      <c r="E79">
        <v>50</v>
      </c>
      <c r="F79">
        <v>2500</v>
      </c>
    </row>
    <row r="80" spans="1:8" x14ac:dyDescent="0.25">
      <c r="A80" t="s">
        <v>168</v>
      </c>
      <c r="B80" s="1">
        <v>45664</v>
      </c>
      <c r="C80" t="s">
        <v>184</v>
      </c>
      <c r="D80" t="s">
        <v>158</v>
      </c>
      <c r="E80">
        <v>50</v>
      </c>
      <c r="F80">
        <v>50</v>
      </c>
    </row>
    <row r="81" spans="1:8" x14ac:dyDescent="0.25">
      <c r="A81" t="s">
        <v>168</v>
      </c>
      <c r="B81" s="1">
        <v>45664</v>
      </c>
      <c r="C81" t="s">
        <v>219</v>
      </c>
      <c r="D81" t="s">
        <v>158</v>
      </c>
      <c r="E81">
        <v>50</v>
      </c>
      <c r="F81">
        <v>7000</v>
      </c>
    </row>
    <row r="82" spans="1:8" x14ac:dyDescent="0.25">
      <c r="A82" t="s">
        <v>168</v>
      </c>
      <c r="B82" s="1">
        <v>45664</v>
      </c>
      <c r="C82" t="s">
        <v>227</v>
      </c>
      <c r="D82" t="s">
        <v>158</v>
      </c>
      <c r="E82">
        <v>50</v>
      </c>
      <c r="F82">
        <v>200</v>
      </c>
    </row>
    <row r="83" spans="1:8" x14ac:dyDescent="0.25">
      <c r="A83" t="s">
        <v>168</v>
      </c>
      <c r="B83" s="1">
        <v>45665</v>
      </c>
      <c r="C83" t="s">
        <v>159</v>
      </c>
      <c r="D83" t="s">
        <v>158</v>
      </c>
      <c r="E83">
        <v>50</v>
      </c>
      <c r="F83">
        <v>12500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FormatPr defaultRowHeight="15" outlineLevelRow="0" outlineLevelCol="0" x14ac:dyDescent="55"/>
  <sheetData>
    <row r="1" spans="1:8" x14ac:dyDescent="0.25">
      <c r="A1" t="s">
        <v>245</v>
      </c>
      <c r="B1" t="s">
        <v>245</v>
      </c>
      <c r="C1" t="s">
        <v>245</v>
      </c>
      <c r="D1" t="s">
        <v>245</v>
      </c>
      <c r="E1" t="s">
        <v>245</v>
      </c>
      <c r="F1" t="s">
        <v>245</v>
      </c>
      <c r="G1" t="s">
        <v>245</v>
      </c>
      <c r="H1" t="s">
        <v>245</v>
      </c>
    </row>
    <row r="2" spans="1:8" x14ac:dyDescent="0.25">
      <c r="A2" t="s">
        <v>255</v>
      </c>
      <c r="B2" t="s">
        <v>255</v>
      </c>
      <c r="D2" t="s">
        <v>256</v>
      </c>
      <c r="E2" t="s">
        <v>256</v>
      </c>
      <c r="G2" t="s">
        <v>257</v>
      </c>
    </row>
    <row r="3" spans="1:8" x14ac:dyDescent="0.25">
      <c r="A3" t="e">
        <v>#VALUE!</v>
      </c>
      <c r="B3" t="e">
        <v>#VALUE!</v>
      </c>
      <c r="C3" t="e">
        <v>#VALUE!</v>
      </c>
      <c r="D3" t="s">
        <v>249</v>
      </c>
      <c r="E3" t="s">
        <v>249</v>
      </c>
      <c r="F3" t="s">
        <v>249</v>
      </c>
      <c r="G3" t="s">
        <v>249</v>
      </c>
      <c r="H3" t="s">
        <v>264</v>
      </c>
    </row>
    <row r="4" spans="1:8" x14ac:dyDescent="0.25">
      <c r="A4" t="s">
        <v>251</v>
      </c>
      <c r="B4" t="s">
        <v>159</v>
      </c>
      <c r="C4" t="s">
        <v>157</v>
      </c>
      <c r="D4" t="s">
        <v>157</v>
      </c>
      <c r="E4" t="s">
        <v>252</v>
      </c>
      <c r="F4" t="s">
        <v>160</v>
      </c>
      <c r="G4" t="s">
        <v>259</v>
      </c>
      <c r="H4" t="s">
        <v>254</v>
      </c>
    </row>
    <row r="5" spans="1:8" x14ac:dyDescent="0.25">
      <c r="A5" t="s">
        <v>165</v>
      </c>
      <c r="B5" s="1">
        <v>45662</v>
      </c>
      <c r="C5" t="s">
        <v>158</v>
      </c>
      <c r="D5" t="s">
        <v>166</v>
      </c>
      <c r="E5">
        <v>1</v>
      </c>
      <c r="F5">
        <v>24</v>
      </c>
      <c r="G5">
        <v>24</v>
      </c>
    </row>
    <row r="6" spans="1:8" x14ac:dyDescent="0.25">
      <c r="A6" t="s">
        <v>165</v>
      </c>
      <c r="B6" s="1">
        <v>45662</v>
      </c>
      <c r="C6" t="s">
        <v>243</v>
      </c>
      <c r="D6" t="s">
        <v>166</v>
      </c>
      <c r="E6">
        <v>1</v>
      </c>
      <c r="F6">
        <v>24</v>
      </c>
      <c r="G6">
        <v>24</v>
      </c>
    </row>
    <row r="7" spans="1:8" x14ac:dyDescent="0.25">
      <c r="A7" t="s">
        <v>165</v>
      </c>
      <c r="B7" s="1">
        <v>45662</v>
      </c>
      <c r="C7" t="s">
        <v>244</v>
      </c>
      <c r="D7" t="s">
        <v>166</v>
      </c>
      <c r="E7">
        <v>1</v>
      </c>
      <c r="F7">
        <v>24</v>
      </c>
      <c r="G7">
        <v>24</v>
      </c>
    </row>
    <row r="8" spans="1:8" x14ac:dyDescent="0.25">
      <c r="A8" t="s">
        <v>165</v>
      </c>
      <c r="B8" s="1">
        <v>45662</v>
      </c>
      <c r="C8" t="s">
        <v>173</v>
      </c>
      <c r="D8" t="s">
        <v>158</v>
      </c>
      <c r="E8">
        <v>1</v>
      </c>
      <c r="F8">
        <v>24</v>
      </c>
      <c r="G8">
        <v>576</v>
      </c>
    </row>
    <row r="9" spans="1:8" x14ac:dyDescent="0.25">
      <c r="A9" t="s">
        <v>165</v>
      </c>
      <c r="B9" s="1">
        <v>45662</v>
      </c>
      <c r="C9" t="s">
        <v>223</v>
      </c>
      <c r="D9" t="s">
        <v>158</v>
      </c>
      <c r="E9">
        <v>1</v>
      </c>
      <c r="F9">
        <v>24</v>
      </c>
      <c r="G9">
        <v>24</v>
      </c>
    </row>
    <row r="10" spans="1:8" x14ac:dyDescent="0.25">
      <c r="A10" t="s">
        <v>165</v>
      </c>
      <c r="B10" s="1">
        <v>45663</v>
      </c>
      <c r="C10" t="s">
        <v>176</v>
      </c>
      <c r="D10" t="s">
        <v>166</v>
      </c>
      <c r="E10">
        <v>2</v>
      </c>
      <c r="F10">
        <v>24</v>
      </c>
      <c r="G10">
        <v>24</v>
      </c>
    </row>
    <row r="11" spans="1:8" x14ac:dyDescent="0.25">
      <c r="A11" t="s">
        <v>165</v>
      </c>
      <c r="B11" s="1">
        <v>45663</v>
      </c>
      <c r="C11" t="s">
        <v>176</v>
      </c>
      <c r="D11" t="s">
        <v>166</v>
      </c>
      <c r="E11">
        <v>2</v>
      </c>
      <c r="F11">
        <v>24</v>
      </c>
      <c r="G11">
        <v>24</v>
      </c>
    </row>
    <row r="12" spans="1:8" x14ac:dyDescent="0.25">
      <c r="A12" t="s">
        <v>165</v>
      </c>
      <c r="B12" s="1">
        <v>45663</v>
      </c>
      <c r="C12" t="s">
        <v>240</v>
      </c>
      <c r="D12" t="s">
        <v>166</v>
      </c>
      <c r="E12">
        <v>2</v>
      </c>
      <c r="F12">
        <v>24</v>
      </c>
      <c r="G12">
        <v>24</v>
      </c>
    </row>
    <row r="13" spans="1:8" x14ac:dyDescent="0.25">
      <c r="A13" t="s">
        <v>165</v>
      </c>
      <c r="B13" s="1">
        <v>45663</v>
      </c>
      <c r="C13" t="s">
        <v>186</v>
      </c>
      <c r="D13" t="s">
        <v>158</v>
      </c>
      <c r="E13">
        <v>2</v>
      </c>
      <c r="F13">
        <v>24</v>
      </c>
      <c r="G13">
        <v>48</v>
      </c>
    </row>
    <row r="14" spans="1:8" x14ac:dyDescent="0.25">
      <c r="A14" t="s">
        <v>165</v>
      </c>
      <c r="B14" s="1">
        <v>45663</v>
      </c>
      <c r="C14" t="s">
        <v>189</v>
      </c>
      <c r="D14" t="s">
        <v>158</v>
      </c>
      <c r="E14">
        <v>2</v>
      </c>
      <c r="F14">
        <v>24</v>
      </c>
      <c r="G14">
        <v>24</v>
      </c>
    </row>
    <row r="15" spans="1:8" x14ac:dyDescent="0.25">
      <c r="C15" t="s">
        <v>260</v>
      </c>
      <c r="F15" t="s">
        <v>261</v>
      </c>
    </row>
    <row r="16" spans="1:8" x14ac:dyDescent="0.25">
      <c r="A16" t="s">
        <v>262</v>
      </c>
      <c r="B16" t="s">
        <v>262</v>
      </c>
      <c r="C16" t="s">
        <v>262</v>
      </c>
      <c r="D16" t="s">
        <v>262</v>
      </c>
      <c r="E16" t="s">
        <v>262</v>
      </c>
      <c r="F16" t="s">
        <v>262</v>
      </c>
      <c r="G16" t="s">
        <v>262</v>
      </c>
      <c r="H16" t="s">
        <v>262</v>
      </c>
    </row>
    <row r="17" spans="1:8" x14ac:dyDescent="0.25">
      <c r="A17" t="s">
        <v>255</v>
      </c>
      <c r="B17" t="s">
        <v>255</v>
      </c>
      <c r="D17" t="s">
        <v>256</v>
      </c>
      <c r="E17" t="s">
        <v>256</v>
      </c>
      <c r="G17" t="s">
        <v>257</v>
      </c>
    </row>
    <row r="18" spans="1:8" x14ac:dyDescent="0.25">
      <c r="A18" t="e">
        <v>#VALUE!</v>
      </c>
      <c r="B18" t="e">
        <v>#VALUE!</v>
      </c>
      <c r="C18" t="e">
        <v>#VALUE!</v>
      </c>
      <c r="D18" t="s">
        <v>249</v>
      </c>
      <c r="E18" t="s">
        <v>249</v>
      </c>
      <c r="F18" t="s">
        <v>249</v>
      </c>
      <c r="G18" t="s">
        <v>249</v>
      </c>
      <c r="H18" t="s">
        <v>264</v>
      </c>
    </row>
    <row r="19" spans="1:8" x14ac:dyDescent="0.25">
      <c r="A19" t="s">
        <v>251</v>
      </c>
      <c r="B19" t="s">
        <v>159</v>
      </c>
      <c r="C19" t="s">
        <v>157</v>
      </c>
      <c r="D19" t="s">
        <v>157</v>
      </c>
      <c r="E19" t="s">
        <v>252</v>
      </c>
      <c r="F19" t="s">
        <v>160</v>
      </c>
      <c r="G19" t="s">
        <v>259</v>
      </c>
      <c r="H19" t="s">
        <v>254</v>
      </c>
    </row>
    <row r="20" spans="1:8" x14ac:dyDescent="0.25">
      <c r="A20" t="s">
        <v>165</v>
      </c>
      <c r="B20" s="1">
        <v>45664</v>
      </c>
      <c r="C20" t="s">
        <v>176</v>
      </c>
      <c r="D20" t="s">
        <v>166</v>
      </c>
      <c r="E20">
        <v>3</v>
      </c>
      <c r="F20">
        <v>24</v>
      </c>
      <c r="G20">
        <v>24</v>
      </c>
    </row>
    <row r="21" spans="1:8" x14ac:dyDescent="0.25">
      <c r="A21" t="s">
        <v>165</v>
      </c>
      <c r="B21" s="1">
        <v>45664</v>
      </c>
      <c r="C21" t="s">
        <v>202</v>
      </c>
      <c r="D21" t="s">
        <v>166</v>
      </c>
      <c r="E21">
        <v>3</v>
      </c>
      <c r="F21">
        <v>24</v>
      </c>
      <c r="G21">
        <v>24</v>
      </c>
    </row>
    <row r="22" spans="1:8" x14ac:dyDescent="0.25">
      <c r="A22" t="s">
        <v>165</v>
      </c>
      <c r="B22" s="1">
        <v>45664</v>
      </c>
      <c r="C22" t="s">
        <v>244</v>
      </c>
      <c r="D22" t="s">
        <v>166</v>
      </c>
      <c r="E22">
        <v>3</v>
      </c>
      <c r="F22">
        <v>24</v>
      </c>
      <c r="G22">
        <v>24</v>
      </c>
    </row>
    <row r="23" spans="1:8" x14ac:dyDescent="0.25">
      <c r="A23" t="s">
        <v>165</v>
      </c>
      <c r="B23" s="1">
        <v>45664</v>
      </c>
      <c r="C23" t="s">
        <v>184</v>
      </c>
      <c r="D23" t="s">
        <v>158</v>
      </c>
      <c r="E23">
        <v>3</v>
      </c>
      <c r="F23">
        <v>24</v>
      </c>
      <c r="G23">
        <v>576</v>
      </c>
    </row>
    <row r="24" spans="1:8" x14ac:dyDescent="0.25">
      <c r="A24" t="s">
        <v>165</v>
      </c>
      <c r="B24" s="1">
        <v>45664</v>
      </c>
      <c r="C24" t="s">
        <v>242</v>
      </c>
      <c r="D24" t="s">
        <v>158</v>
      </c>
      <c r="E24">
        <v>3</v>
      </c>
      <c r="F24">
        <v>24</v>
      </c>
      <c r="G24">
        <v>24</v>
      </c>
    </row>
    <row r="25" spans="1:8" x14ac:dyDescent="0.25">
      <c r="A25" t="s">
        <v>165</v>
      </c>
      <c r="B25" s="1">
        <v>45665</v>
      </c>
      <c r="C25" t="s">
        <v>205</v>
      </c>
      <c r="D25" t="s">
        <v>166</v>
      </c>
      <c r="E25">
        <v>4</v>
      </c>
      <c r="F25">
        <v>24</v>
      </c>
      <c r="G25">
        <v>48</v>
      </c>
    </row>
    <row r="26" spans="1:8" x14ac:dyDescent="0.25">
      <c r="A26" t="s">
        <v>165</v>
      </c>
      <c r="B26" s="1">
        <v>45665</v>
      </c>
      <c r="C26" t="s">
        <v>178</v>
      </c>
      <c r="D26" t="s">
        <v>166</v>
      </c>
      <c r="E26">
        <v>4</v>
      </c>
      <c r="F26">
        <v>24</v>
      </c>
      <c r="G26">
        <v>24</v>
      </c>
    </row>
    <row r="27" spans="1:8" x14ac:dyDescent="0.25">
      <c r="A27" t="s">
        <v>165</v>
      </c>
      <c r="B27" s="1">
        <v>45665</v>
      </c>
      <c r="C27" t="s">
        <v>228</v>
      </c>
      <c r="D27" t="s">
        <v>166</v>
      </c>
      <c r="E27">
        <v>4</v>
      </c>
      <c r="F27">
        <v>24</v>
      </c>
      <c r="G27">
        <v>24</v>
      </c>
    </row>
    <row r="28" spans="1:8" x14ac:dyDescent="0.25">
      <c r="A28" t="s">
        <v>165</v>
      </c>
      <c r="B28" s="1">
        <v>45665</v>
      </c>
      <c r="C28" t="s">
        <v>190</v>
      </c>
      <c r="D28" t="s">
        <v>158</v>
      </c>
      <c r="E28">
        <v>4</v>
      </c>
      <c r="F28">
        <v>24</v>
      </c>
      <c r="G28">
        <v>24</v>
      </c>
    </row>
    <row r="29" spans="1:8" x14ac:dyDescent="0.25">
      <c r="A29" t="s">
        <v>165</v>
      </c>
      <c r="B29" s="1">
        <v>45665</v>
      </c>
      <c r="C29" t="s">
        <v>232</v>
      </c>
      <c r="D29" t="s">
        <v>158</v>
      </c>
      <c r="E29">
        <v>4</v>
      </c>
      <c r="F29">
        <v>24</v>
      </c>
      <c r="G29">
        <v>24</v>
      </c>
    </row>
    <row r="30" spans="1:8" x14ac:dyDescent="0.25">
      <c r="C30" t="s">
        <v>260</v>
      </c>
      <c r="F30" t="s">
        <v>261</v>
      </c>
    </row>
    <row r="31" spans="1:8" x14ac:dyDescent="0.25">
      <c r="A31" t="s">
        <v>262</v>
      </c>
      <c r="B31" t="s">
        <v>262</v>
      </c>
      <c r="C31" t="s">
        <v>262</v>
      </c>
      <c r="D31" t="s">
        <v>262</v>
      </c>
      <c r="E31" t="s">
        <v>262</v>
      </c>
      <c r="F31" t="s">
        <v>262</v>
      </c>
      <c r="G31" t="s">
        <v>262</v>
      </c>
      <c r="H31" t="s">
        <v>262</v>
      </c>
    </row>
    <row r="32" spans="1:8" x14ac:dyDescent="0.25">
      <c r="A32" t="s">
        <v>255</v>
      </c>
      <c r="B32" t="s">
        <v>255</v>
      </c>
      <c r="D32" t="s">
        <v>256</v>
      </c>
      <c r="E32" t="s">
        <v>256</v>
      </c>
      <c r="G32" t="s">
        <v>257</v>
      </c>
    </row>
    <row r="33" spans="1:8" x14ac:dyDescent="0.25">
      <c r="A33" t="e">
        <v>#VALUE!</v>
      </c>
      <c r="B33" t="e">
        <v>#VALUE!</v>
      </c>
      <c r="C33" t="e">
        <v>#VALUE!</v>
      </c>
      <c r="D33" t="s">
        <v>249</v>
      </c>
      <c r="E33" t="s">
        <v>249</v>
      </c>
      <c r="F33" t="s">
        <v>249</v>
      </c>
      <c r="G33" t="s">
        <v>249</v>
      </c>
      <c r="H33" t="s">
        <v>264</v>
      </c>
    </row>
    <row r="34" spans="1:8" x14ac:dyDescent="0.25">
      <c r="A34" t="s">
        <v>251</v>
      </c>
      <c r="B34" t="s">
        <v>159</v>
      </c>
      <c r="C34" t="s">
        <v>157</v>
      </c>
      <c r="D34" t="s">
        <v>157</v>
      </c>
      <c r="E34" t="s">
        <v>252</v>
      </c>
      <c r="F34" t="s">
        <v>160</v>
      </c>
      <c r="G34" t="s">
        <v>259</v>
      </c>
      <c r="H34" t="s">
        <v>254</v>
      </c>
    </row>
    <row r="35" spans="1:8" x14ac:dyDescent="0.25">
      <c r="A35" t="s">
        <v>165</v>
      </c>
      <c r="B35" s="1">
        <v>45666</v>
      </c>
      <c r="C35" t="s">
        <v>185</v>
      </c>
      <c r="D35" t="s">
        <v>166</v>
      </c>
      <c r="E35">
        <v>5</v>
      </c>
      <c r="F35">
        <v>24</v>
      </c>
      <c r="G35">
        <v>48</v>
      </c>
    </row>
    <row r="36" spans="1:8" x14ac:dyDescent="0.25">
      <c r="A36" t="s">
        <v>165</v>
      </c>
      <c r="B36" s="1">
        <v>45666</v>
      </c>
      <c r="C36" t="s">
        <v>191</v>
      </c>
      <c r="D36" t="s">
        <v>166</v>
      </c>
      <c r="E36">
        <v>5</v>
      </c>
      <c r="F36">
        <v>24</v>
      </c>
      <c r="G36">
        <v>48</v>
      </c>
    </row>
    <row r="37" spans="1:8" x14ac:dyDescent="0.25">
      <c r="A37" t="s">
        <v>165</v>
      </c>
      <c r="B37" s="1">
        <v>45666</v>
      </c>
      <c r="C37" t="s">
        <v>196</v>
      </c>
      <c r="D37" t="s">
        <v>166</v>
      </c>
      <c r="E37">
        <v>5</v>
      </c>
      <c r="F37">
        <v>24</v>
      </c>
      <c r="G37">
        <v>24</v>
      </c>
    </row>
    <row r="38" spans="1:8" x14ac:dyDescent="0.25">
      <c r="A38" t="s">
        <v>165</v>
      </c>
      <c r="B38" s="1">
        <v>45666</v>
      </c>
      <c r="C38" t="s">
        <v>179</v>
      </c>
      <c r="D38" t="s">
        <v>158</v>
      </c>
      <c r="E38">
        <v>5</v>
      </c>
      <c r="F38">
        <v>24</v>
      </c>
      <c r="G38">
        <v>72</v>
      </c>
    </row>
    <row r="39" spans="1:8" x14ac:dyDescent="0.25">
      <c r="A39" t="s">
        <v>165</v>
      </c>
      <c r="B39" s="1">
        <v>45666</v>
      </c>
      <c r="C39" t="s">
        <v>222</v>
      </c>
      <c r="D39" t="s">
        <v>158</v>
      </c>
      <c r="E39">
        <v>5</v>
      </c>
      <c r="F39">
        <v>24</v>
      </c>
      <c r="G39">
        <v>24</v>
      </c>
    </row>
    <row r="40" spans="1:8" x14ac:dyDescent="0.25">
      <c r="A40" t="s">
        <v>165</v>
      </c>
      <c r="B40" s="1">
        <v>45667</v>
      </c>
      <c r="C40" t="s">
        <v>205</v>
      </c>
      <c r="D40" t="s">
        <v>166</v>
      </c>
      <c r="E40">
        <v>6</v>
      </c>
      <c r="F40">
        <v>24</v>
      </c>
      <c r="G40">
        <v>48</v>
      </c>
    </row>
    <row r="41" spans="1:8" x14ac:dyDescent="0.25">
      <c r="A41" t="s">
        <v>165</v>
      </c>
      <c r="B41" s="1">
        <v>45667</v>
      </c>
      <c r="C41" t="s">
        <v>157</v>
      </c>
      <c r="D41" t="s">
        <v>166</v>
      </c>
      <c r="E41">
        <v>6</v>
      </c>
      <c r="F41">
        <v>24</v>
      </c>
      <c r="G41">
        <v>24</v>
      </c>
    </row>
    <row r="42" spans="1:8" x14ac:dyDescent="0.25">
      <c r="A42" t="s">
        <v>165</v>
      </c>
      <c r="B42" s="1">
        <v>45667</v>
      </c>
      <c r="C42" t="s">
        <v>239</v>
      </c>
      <c r="D42" t="s">
        <v>166</v>
      </c>
      <c r="E42">
        <v>6</v>
      </c>
      <c r="F42">
        <v>24</v>
      </c>
      <c r="G42">
        <v>24</v>
      </c>
    </row>
    <row r="43" spans="1:8" x14ac:dyDescent="0.25">
      <c r="A43" t="s">
        <v>165</v>
      </c>
      <c r="B43" s="1">
        <v>45667</v>
      </c>
      <c r="C43" t="s">
        <v>197</v>
      </c>
      <c r="D43" t="s">
        <v>158</v>
      </c>
      <c r="E43">
        <v>6</v>
      </c>
      <c r="F43">
        <v>24</v>
      </c>
      <c r="G43">
        <v>24</v>
      </c>
    </row>
    <row r="44" spans="1:8" x14ac:dyDescent="0.25">
      <c r="A44" t="s">
        <v>165</v>
      </c>
      <c r="B44" s="1">
        <v>45667</v>
      </c>
      <c r="C44" t="s">
        <v>203</v>
      </c>
      <c r="D44" t="s">
        <v>158</v>
      </c>
      <c r="E44">
        <v>6</v>
      </c>
      <c r="F44">
        <v>24</v>
      </c>
      <c r="G44">
        <v>576</v>
      </c>
    </row>
    <row r="45" spans="1:8" x14ac:dyDescent="0.25">
      <c r="A45" t="s">
        <v>165</v>
      </c>
      <c r="B45" s="1">
        <v>45668</v>
      </c>
      <c r="C45" t="s">
        <v>158</v>
      </c>
      <c r="D45" t="s">
        <v>166</v>
      </c>
      <c r="E45">
        <v>7</v>
      </c>
      <c r="F45">
        <v>24</v>
      </c>
      <c r="G45">
        <v>24</v>
      </c>
    </row>
    <row r="46" spans="1:8" x14ac:dyDescent="0.25">
      <c r="A46" t="s">
        <v>165</v>
      </c>
      <c r="B46" s="1">
        <v>45668</v>
      </c>
      <c r="C46" t="s">
        <v>169</v>
      </c>
      <c r="D46" t="s">
        <v>166</v>
      </c>
      <c r="E46">
        <v>7</v>
      </c>
      <c r="F46">
        <v>24</v>
      </c>
      <c r="G46">
        <v>24</v>
      </c>
    </row>
    <row r="47" spans="1:8" x14ac:dyDescent="0.25">
      <c r="A47" t="s">
        <v>165</v>
      </c>
      <c r="B47" s="1">
        <v>45668</v>
      </c>
      <c r="C47" t="s">
        <v>244</v>
      </c>
      <c r="D47" t="s">
        <v>166</v>
      </c>
      <c r="E47">
        <v>7</v>
      </c>
      <c r="F47">
        <v>24</v>
      </c>
      <c r="G47">
        <v>24</v>
      </c>
    </row>
    <row r="48" spans="1:8" x14ac:dyDescent="0.25">
      <c r="A48" t="s">
        <v>165</v>
      </c>
      <c r="B48" s="1">
        <v>45668</v>
      </c>
      <c r="C48" t="s">
        <v>177</v>
      </c>
      <c r="D48" t="s">
        <v>158</v>
      </c>
      <c r="E48">
        <v>7</v>
      </c>
      <c r="F48">
        <v>24</v>
      </c>
      <c r="G48">
        <v>24</v>
      </c>
    </row>
    <row r="49" spans="1:8" x14ac:dyDescent="0.25">
      <c r="A49" t="s">
        <v>165</v>
      </c>
      <c r="B49" s="1">
        <v>45668</v>
      </c>
      <c r="C49" t="s">
        <v>201</v>
      </c>
      <c r="D49" t="s">
        <v>158</v>
      </c>
      <c r="E49">
        <v>7</v>
      </c>
      <c r="F49">
        <v>24</v>
      </c>
      <c r="G49">
        <v>24</v>
      </c>
    </row>
    <row r="50" spans="1:8" x14ac:dyDescent="0.25">
      <c r="A50" t="s">
        <v>164</v>
      </c>
      <c r="B50" s="1">
        <v>45666</v>
      </c>
      <c r="C50" t="s">
        <v>208</v>
      </c>
      <c r="D50" t="s">
        <v>158</v>
      </c>
      <c r="E50">
        <v>22</v>
      </c>
      <c r="F50">
        <v>1980</v>
      </c>
    </row>
    <row r="51" spans="1:8" x14ac:dyDescent="0.25">
      <c r="A51" t="s">
        <v>164</v>
      </c>
      <c r="B51" s="1">
        <v>45666</v>
      </c>
      <c r="C51" t="s">
        <v>221</v>
      </c>
      <c r="D51" t="s">
        <v>158</v>
      </c>
      <c r="E51">
        <v>22</v>
      </c>
      <c r="F51">
        <v>2200</v>
      </c>
    </row>
    <row r="52" spans="1:8" x14ac:dyDescent="0.25">
      <c r="A52" t="s">
        <v>172</v>
      </c>
      <c r="B52" s="1">
        <v>45667</v>
      </c>
      <c r="C52" t="s">
        <v>171</v>
      </c>
      <c r="D52" t="s">
        <v>158</v>
      </c>
      <c r="E52">
        <v>7</v>
      </c>
      <c r="F52">
        <v>840</v>
      </c>
    </row>
    <row r="53" spans="1:8" x14ac:dyDescent="0.25">
      <c r="A53" t="s">
        <v>172</v>
      </c>
      <c r="B53" s="1">
        <v>45667</v>
      </c>
      <c r="C53" t="s">
        <v>171</v>
      </c>
      <c r="D53" t="s">
        <v>174</v>
      </c>
      <c r="E53">
        <v>1</v>
      </c>
      <c r="F53">
        <v>120</v>
      </c>
      <c r="G53" t="s">
        <v>175</v>
      </c>
    </row>
    <row r="54" spans="1:8" x14ac:dyDescent="0.25">
      <c r="A54" t="s">
        <v>172</v>
      </c>
      <c r="B54" s="1">
        <v>45667</v>
      </c>
      <c r="C54" t="s">
        <v>194</v>
      </c>
      <c r="D54" t="s">
        <v>158</v>
      </c>
      <c r="E54">
        <v>8</v>
      </c>
      <c r="F54">
        <v>8</v>
      </c>
    </row>
    <row r="55" spans="1:8" x14ac:dyDescent="0.25">
      <c r="A55" t="s">
        <v>172</v>
      </c>
      <c r="B55" s="1">
        <v>45667</v>
      </c>
      <c r="C55" t="s">
        <v>158</v>
      </c>
      <c r="D55" t="s">
        <v>158</v>
      </c>
      <c r="E55">
        <v>8</v>
      </c>
      <c r="F55">
        <v>400</v>
      </c>
    </row>
    <row r="56" spans="1:8" x14ac:dyDescent="0.25">
      <c r="A56" t="s">
        <v>172</v>
      </c>
      <c r="B56" s="1">
        <v>45667</v>
      </c>
      <c r="C56" t="s">
        <v>208</v>
      </c>
      <c r="D56" t="s">
        <v>158</v>
      </c>
      <c r="E56">
        <v>8</v>
      </c>
      <c r="F56">
        <v>800</v>
      </c>
    </row>
    <row r="57" spans="1:8" x14ac:dyDescent="0.25">
      <c r="A57" t="s">
        <v>172</v>
      </c>
      <c r="B57" s="1">
        <v>45667</v>
      </c>
      <c r="C57" t="s">
        <v>221</v>
      </c>
      <c r="D57" t="s">
        <v>158</v>
      </c>
      <c r="E57">
        <v>8</v>
      </c>
      <c r="F57">
        <v>800</v>
      </c>
    </row>
    <row r="58" spans="1:8" x14ac:dyDescent="0.25">
      <c r="C58" t="s">
        <v>260</v>
      </c>
      <c r="F58" t="s">
        <v>261</v>
      </c>
    </row>
    <row r="59" spans="1:8" x14ac:dyDescent="0.25">
      <c r="A59" t="s">
        <v>262</v>
      </c>
      <c r="B59" t="s">
        <v>262</v>
      </c>
      <c r="C59" t="s">
        <v>262</v>
      </c>
      <c r="D59" t="s">
        <v>262</v>
      </c>
      <c r="E59" t="s">
        <v>262</v>
      </c>
      <c r="F59" t="s">
        <v>262</v>
      </c>
      <c r="G59" t="s">
        <v>262</v>
      </c>
      <c r="H59" t="s">
        <v>262</v>
      </c>
    </row>
    <row r="60" spans="1:8" x14ac:dyDescent="0.25">
      <c r="A60" t="s">
        <v>255</v>
      </c>
      <c r="B60" t="s">
        <v>255</v>
      </c>
      <c r="D60" t="s">
        <v>256</v>
      </c>
      <c r="E60" t="s">
        <v>256</v>
      </c>
      <c r="G60" t="s">
        <v>257</v>
      </c>
    </row>
    <row r="61" spans="1:8" x14ac:dyDescent="0.25">
      <c r="A61" t="e">
        <v>#VALUE!</v>
      </c>
      <c r="B61" t="e">
        <v>#VALUE!</v>
      </c>
      <c r="C61" t="e">
        <v>#VALUE!</v>
      </c>
      <c r="D61" t="s">
        <v>249</v>
      </c>
      <c r="E61" t="s">
        <v>249</v>
      </c>
      <c r="F61" t="s">
        <v>249</v>
      </c>
      <c r="G61" t="s">
        <v>249</v>
      </c>
      <c r="H61" t="s">
        <v>263</v>
      </c>
    </row>
    <row r="62" spans="1:8" x14ac:dyDescent="0.25">
      <c r="A62" t="s">
        <v>251</v>
      </c>
      <c r="B62" t="s">
        <v>159</v>
      </c>
      <c r="C62" t="s">
        <v>157</v>
      </c>
      <c r="D62" t="s">
        <v>157</v>
      </c>
      <c r="E62" t="s">
        <v>160</v>
      </c>
      <c r="F62" t="s">
        <v>259</v>
      </c>
      <c r="G62" t="s">
        <v>176</v>
      </c>
      <c r="H62" t="s">
        <v>254</v>
      </c>
    </row>
    <row r="63" spans="1:8" x14ac:dyDescent="0.25">
      <c r="A63" t="s">
        <v>168</v>
      </c>
      <c r="B63" s="1">
        <v>45664</v>
      </c>
      <c r="C63" t="s">
        <v>180</v>
      </c>
      <c r="D63" t="s">
        <v>158</v>
      </c>
      <c r="E63">
        <v>50</v>
      </c>
      <c r="F63">
        <v>5000</v>
      </c>
    </row>
    <row r="64" spans="1:8" x14ac:dyDescent="0.25">
      <c r="A64" t="s">
        <v>168</v>
      </c>
      <c r="B64" s="1">
        <v>45664</v>
      </c>
      <c r="C64" t="s">
        <v>184</v>
      </c>
      <c r="D64" t="s">
        <v>158</v>
      </c>
      <c r="E64">
        <v>50</v>
      </c>
      <c r="F64">
        <v>2500</v>
      </c>
    </row>
    <row r="65" spans="1:8" x14ac:dyDescent="0.25">
      <c r="A65" t="s">
        <v>168</v>
      </c>
      <c r="B65" s="1">
        <v>45664</v>
      </c>
      <c r="C65" t="s">
        <v>184</v>
      </c>
      <c r="D65" t="s">
        <v>158</v>
      </c>
      <c r="E65">
        <v>50</v>
      </c>
      <c r="F65">
        <v>50</v>
      </c>
    </row>
    <row r="66" spans="1:8" x14ac:dyDescent="0.25">
      <c r="A66" t="s">
        <v>168</v>
      </c>
      <c r="B66" s="1">
        <v>45664</v>
      </c>
      <c r="C66" t="s">
        <v>219</v>
      </c>
      <c r="D66" t="s">
        <v>158</v>
      </c>
      <c r="E66">
        <v>50</v>
      </c>
      <c r="F66">
        <v>7000</v>
      </c>
    </row>
    <row r="67" spans="1:8" x14ac:dyDescent="0.25">
      <c r="A67" t="s">
        <v>168</v>
      </c>
      <c r="B67" s="1">
        <v>45664</v>
      </c>
      <c r="C67" t="s">
        <v>227</v>
      </c>
      <c r="D67" t="s">
        <v>158</v>
      </c>
      <c r="E67">
        <v>50</v>
      </c>
      <c r="F67">
        <v>200</v>
      </c>
    </row>
    <row r="68" spans="1:8" x14ac:dyDescent="0.25">
      <c r="A68" t="s">
        <v>168</v>
      </c>
      <c r="B68" s="1">
        <v>45665</v>
      </c>
      <c r="C68" t="s">
        <v>159</v>
      </c>
      <c r="D68" t="s">
        <v>158</v>
      </c>
      <c r="E68">
        <v>50</v>
      </c>
      <c r="F68">
        <v>12500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FormatPr defaultRowHeight="15" outlineLevelRow="0" outlineLevelCol="0" x14ac:dyDescent="55"/>
  <sheetData>
    <row r="1" spans="1:8" x14ac:dyDescent="0.25">
      <c r="A1" t="s">
        <v>155</v>
      </c>
      <c r="B1" t="s">
        <v>245</v>
      </c>
      <c r="C1" t="s">
        <v>245</v>
      </c>
      <c r="D1" t="s">
        <v>245</v>
      </c>
      <c r="E1" t="s">
        <v>245</v>
      </c>
      <c r="F1" t="s">
        <v>245</v>
      </c>
      <c r="G1" t="s">
        <v>245</v>
      </c>
      <c r="H1" t="s">
        <v>245</v>
      </c>
    </row>
    <row r="2" spans="1:8" x14ac:dyDescent="0.25">
      <c r="B2" t="s">
        <v>255</v>
      </c>
      <c r="C2" t="s">
        <v>255</v>
      </c>
      <c r="E2" t="s">
        <v>256</v>
      </c>
      <c r="F2" t="s">
        <v>256</v>
      </c>
      <c r="H2" t="s">
        <v>257</v>
      </c>
    </row>
    <row r="3" spans="1:8" x14ac:dyDescent="0.25">
      <c r="B3" t="e">
        <v>#VALUE!</v>
      </c>
      <c r="C3" t="e">
        <v>#VALUE!</v>
      </c>
      <c r="D3" t="e">
        <v>#VALUE!</v>
      </c>
      <c r="E3" t="s">
        <v>249</v>
      </c>
      <c r="F3" t="s">
        <v>249</v>
      </c>
      <c r="G3" t="s">
        <v>249</v>
      </c>
      <c r="H3" t="s">
        <v>249</v>
      </c>
    </row>
    <row r="4" spans="1:8" x14ac:dyDescent="0.25">
      <c r="B4" t="s">
        <v>251</v>
      </c>
      <c r="C4" t="s">
        <v>159</v>
      </c>
      <c r="D4" t="s">
        <v>157</v>
      </c>
      <c r="E4" t="s">
        <v>157</v>
      </c>
      <c r="F4" t="s">
        <v>160</v>
      </c>
      <c r="G4" t="s">
        <v>259</v>
      </c>
      <c r="H4" t="s">
        <v>176</v>
      </c>
    </row>
    <row r="5" spans="1:8" x14ac:dyDescent="0.25">
      <c r="B5" t="s">
        <v>156</v>
      </c>
      <c r="C5" s="1">
        <v>45662</v>
      </c>
      <c r="D5" t="s">
        <v>158</v>
      </c>
      <c r="E5" t="s">
        <v>158</v>
      </c>
      <c r="F5">
        <v>50</v>
      </c>
      <c r="G5">
        <v>50</v>
      </c>
    </row>
    <row r="6" spans="1:8" x14ac:dyDescent="0.25">
      <c r="B6" t="s">
        <v>156</v>
      </c>
      <c r="C6" s="1">
        <v>45662</v>
      </c>
      <c r="D6" t="s">
        <v>208</v>
      </c>
      <c r="E6" t="s">
        <v>158</v>
      </c>
      <c r="F6">
        <v>50</v>
      </c>
      <c r="G6">
        <v>4500</v>
      </c>
    </row>
    <row r="7" spans="1:8" x14ac:dyDescent="0.25">
      <c r="B7" t="s">
        <v>156</v>
      </c>
      <c r="C7" s="1">
        <v>45662</v>
      </c>
      <c r="D7" t="s">
        <v>173</v>
      </c>
      <c r="E7" t="s">
        <v>158</v>
      </c>
      <c r="F7">
        <v>50</v>
      </c>
      <c r="G7">
        <v>2500</v>
      </c>
    </row>
    <row r="8" spans="1:8" x14ac:dyDescent="0.25">
      <c r="B8" t="s">
        <v>156</v>
      </c>
      <c r="C8" s="1">
        <v>45662</v>
      </c>
      <c r="D8" t="s">
        <v>173</v>
      </c>
      <c r="E8" t="s">
        <v>225</v>
      </c>
      <c r="F8">
        <v>49</v>
      </c>
      <c r="G8">
        <v>4900</v>
      </c>
    </row>
    <row r="9" spans="1:8" x14ac:dyDescent="0.25">
      <c r="B9" t="s">
        <v>156</v>
      </c>
      <c r="C9" s="1">
        <v>45662</v>
      </c>
      <c r="D9" t="s">
        <v>231</v>
      </c>
      <c r="E9" t="s">
        <v>158</v>
      </c>
      <c r="F9">
        <v>49</v>
      </c>
      <c r="G9">
        <v>5880</v>
      </c>
    </row>
    <row r="10" spans="1:8" x14ac:dyDescent="0.25">
      <c r="B10" t="s">
        <v>156</v>
      </c>
      <c r="C10" s="1">
        <v>45662</v>
      </c>
      <c r="D10" t="s">
        <v>238</v>
      </c>
      <c r="E10" t="s">
        <v>158</v>
      </c>
      <c r="F10">
        <v>1</v>
      </c>
      <c r="G10">
        <v>120</v>
      </c>
      <c r="H10" t="s">
        <v>212</v>
      </c>
    </row>
    <row r="11" spans="1:8" x14ac:dyDescent="0.25">
      <c r="B11" t="s">
        <v>156</v>
      </c>
      <c r="C11" s="1">
        <v>45662</v>
      </c>
      <c r="D11" t="s">
        <v>184</v>
      </c>
      <c r="E11" t="s">
        <v>174</v>
      </c>
      <c r="F11">
        <v>1</v>
      </c>
      <c r="G11">
        <v>2</v>
      </c>
      <c r="H11" t="s">
        <v>72</v>
      </c>
    </row>
    <row r="12" spans="1:8" x14ac:dyDescent="0.25">
      <c r="B12" t="s">
        <v>156</v>
      </c>
      <c r="C12" s="1">
        <v>45662</v>
      </c>
      <c r="D12" t="s">
        <v>170</v>
      </c>
      <c r="E12" t="s">
        <v>158</v>
      </c>
      <c r="F12">
        <v>50</v>
      </c>
      <c r="G12">
        <v>50</v>
      </c>
    </row>
    <row r="13" spans="1:8" x14ac:dyDescent="0.25">
      <c r="B13" t="s">
        <v>156</v>
      </c>
      <c r="C13" s="1">
        <v>45662</v>
      </c>
      <c r="D13" t="s">
        <v>181</v>
      </c>
      <c r="E13" t="s">
        <v>158</v>
      </c>
      <c r="F13">
        <v>50</v>
      </c>
      <c r="G13">
        <v>200</v>
      </c>
    </row>
    <row r="14" spans="1:8" x14ac:dyDescent="0.25">
      <c r="B14" t="s">
        <v>156</v>
      </c>
      <c r="C14" s="1">
        <v>45662</v>
      </c>
      <c r="D14" t="s">
        <v>192</v>
      </c>
      <c r="E14" t="s">
        <v>157</v>
      </c>
      <c r="F14">
        <v>43</v>
      </c>
      <c r="G14">
        <v>10750</v>
      </c>
    </row>
    <row r="15" spans="1:8" x14ac:dyDescent="0.25">
      <c r="B15" t="s">
        <v>156</v>
      </c>
      <c r="C15" s="1">
        <v>45662</v>
      </c>
      <c r="D15" t="s">
        <v>195</v>
      </c>
      <c r="E15" t="s">
        <v>210</v>
      </c>
      <c r="F15">
        <v>1</v>
      </c>
      <c r="G15">
        <v>250</v>
      </c>
      <c r="H15" t="s">
        <v>29</v>
      </c>
    </row>
    <row r="16" spans="1:8" x14ac:dyDescent="0.25">
      <c r="B16" t="s">
        <v>156</v>
      </c>
      <c r="C16" s="1">
        <v>45662</v>
      </c>
      <c r="D16" t="s">
        <v>195</v>
      </c>
      <c r="E16" t="s">
        <v>210</v>
      </c>
      <c r="F16">
        <v>1</v>
      </c>
      <c r="G16">
        <v>250</v>
      </c>
      <c r="H16" t="s">
        <v>31</v>
      </c>
    </row>
    <row r="17" spans="1:8" x14ac:dyDescent="0.25">
      <c r="B17" t="s">
        <v>156</v>
      </c>
      <c r="C17" s="1">
        <v>45662</v>
      </c>
      <c r="D17" t="s">
        <v>195</v>
      </c>
      <c r="E17" t="s">
        <v>210</v>
      </c>
      <c r="F17">
        <v>1</v>
      </c>
      <c r="G17">
        <v>250</v>
      </c>
      <c r="H17" t="s">
        <v>103</v>
      </c>
    </row>
    <row r="18" spans="1:8" x14ac:dyDescent="0.25">
      <c r="B18" t="s">
        <v>156</v>
      </c>
      <c r="C18" s="1">
        <v>45662</v>
      </c>
      <c r="D18" t="s">
        <v>195</v>
      </c>
      <c r="E18" t="s">
        <v>210</v>
      </c>
      <c r="F18">
        <v>1</v>
      </c>
      <c r="G18">
        <v>250</v>
      </c>
      <c r="H18" t="s">
        <v>213</v>
      </c>
    </row>
    <row r="19" spans="1:8" x14ac:dyDescent="0.25">
      <c r="B19" t="s">
        <v>156</v>
      </c>
      <c r="C19" s="1">
        <v>45662</v>
      </c>
      <c r="D19" t="s">
        <v>195</v>
      </c>
      <c r="E19" t="s">
        <v>210</v>
      </c>
      <c r="F19">
        <v>1</v>
      </c>
      <c r="G19">
        <v>250</v>
      </c>
      <c r="H19" t="s">
        <v>29</v>
      </c>
    </row>
    <row r="20" spans="1:8" x14ac:dyDescent="0.25">
      <c r="B20" t="s">
        <v>156</v>
      </c>
      <c r="C20" s="1">
        <v>45662</v>
      </c>
      <c r="D20" t="s">
        <v>195</v>
      </c>
      <c r="E20" t="s">
        <v>210</v>
      </c>
      <c r="F20">
        <v>1</v>
      </c>
      <c r="G20">
        <v>250</v>
      </c>
      <c r="H20" t="s">
        <v>114</v>
      </c>
    </row>
    <row r="21" spans="1:8" x14ac:dyDescent="0.25">
      <c r="B21" t="s">
        <v>156</v>
      </c>
      <c r="C21" s="1">
        <v>45662</v>
      </c>
      <c r="D21" t="s">
        <v>195</v>
      </c>
      <c r="E21" t="s">
        <v>210</v>
      </c>
      <c r="F21">
        <v>1</v>
      </c>
      <c r="G21">
        <v>250</v>
      </c>
      <c r="H21" t="s">
        <v>29</v>
      </c>
    </row>
    <row r="22" spans="1:8" x14ac:dyDescent="0.25">
      <c r="B22" t="s">
        <v>156</v>
      </c>
      <c r="C22" s="1">
        <v>45663</v>
      </c>
      <c r="D22" t="s">
        <v>173</v>
      </c>
      <c r="E22" t="s">
        <v>158</v>
      </c>
      <c r="F22">
        <v>50</v>
      </c>
      <c r="G22">
        <v>5000</v>
      </c>
    </row>
    <row r="23" spans="1:8" x14ac:dyDescent="0.25">
      <c r="B23" t="s">
        <v>156</v>
      </c>
      <c r="C23" s="1">
        <v>45663</v>
      </c>
      <c r="D23" t="s">
        <v>178</v>
      </c>
      <c r="E23" t="s">
        <v>158</v>
      </c>
      <c r="F23">
        <v>49</v>
      </c>
      <c r="G23">
        <v>49</v>
      </c>
    </row>
    <row r="24" spans="1:8" x14ac:dyDescent="0.25">
      <c r="B24" t="s">
        <v>156</v>
      </c>
      <c r="C24" s="1">
        <v>45663</v>
      </c>
      <c r="D24" t="s">
        <v>188</v>
      </c>
      <c r="E24" t="s">
        <v>158</v>
      </c>
      <c r="F24">
        <v>1</v>
      </c>
      <c r="G24">
        <v>100</v>
      </c>
      <c r="H24" t="s">
        <v>33</v>
      </c>
    </row>
    <row r="25" spans="1:8" x14ac:dyDescent="0.25">
      <c r="B25" t="s">
        <v>156</v>
      </c>
      <c r="C25" s="1">
        <v>45663</v>
      </c>
      <c r="D25" t="s">
        <v>199</v>
      </c>
      <c r="E25" t="s">
        <v>158</v>
      </c>
      <c r="F25">
        <v>50</v>
      </c>
      <c r="G25">
        <v>1</v>
      </c>
      <c r="H25" t="s">
        <v>33</v>
      </c>
    </row>
    <row r="26" spans="1:8" x14ac:dyDescent="0.25">
      <c r="B26" t="s">
        <v>156</v>
      </c>
      <c r="C26" s="1">
        <v>45663</v>
      </c>
      <c r="D26" t="s">
        <v>204</v>
      </c>
      <c r="E26" t="s">
        <v>158</v>
      </c>
      <c r="F26">
        <v>50</v>
      </c>
      <c r="G26">
        <v>49</v>
      </c>
    </row>
    <row r="27" spans="1:8" x14ac:dyDescent="0.25">
      <c r="B27" t="s">
        <v>156</v>
      </c>
      <c r="C27" s="1">
        <v>45663</v>
      </c>
      <c r="D27" t="s">
        <v>207</v>
      </c>
      <c r="E27" t="s">
        <v>158</v>
      </c>
      <c r="F27">
        <v>50</v>
      </c>
      <c r="G27" s="2">
        <v>2.941176470588235</v>
      </c>
    </row>
    <row r="28" spans="1:8" x14ac:dyDescent="0.25">
      <c r="B28" t="s">
        <v>156</v>
      </c>
      <c r="C28" s="1">
        <v>45663</v>
      </c>
      <c r="D28" t="s">
        <v>176</v>
      </c>
      <c r="E28" t="s">
        <v>158</v>
      </c>
      <c r="F28">
        <v>50</v>
      </c>
      <c r="G28">
        <v>50</v>
      </c>
    </row>
    <row r="29" spans="1:8" x14ac:dyDescent="0.25">
      <c r="B29" t="s">
        <v>156</v>
      </c>
      <c r="C29" s="1">
        <v>45663</v>
      </c>
      <c r="D29" t="s">
        <v>179</v>
      </c>
      <c r="E29" t="s">
        <v>158</v>
      </c>
      <c r="F29">
        <v>50</v>
      </c>
      <c r="G29">
        <v>5000</v>
      </c>
    </row>
    <row r="30" spans="1:8" x14ac:dyDescent="0.25">
      <c r="B30" t="s">
        <v>156</v>
      </c>
      <c r="C30" s="1">
        <v>45663</v>
      </c>
      <c r="D30" t="s">
        <v>229</v>
      </c>
      <c r="E30" t="s">
        <v>158</v>
      </c>
      <c r="F30">
        <v>50</v>
      </c>
      <c r="G30">
        <v>9</v>
      </c>
    </row>
    <row r="31" spans="1:8" x14ac:dyDescent="0.25">
      <c r="B31" t="s">
        <v>156</v>
      </c>
      <c r="C31" s="1">
        <v>45663</v>
      </c>
      <c r="D31" t="s">
        <v>170</v>
      </c>
      <c r="E31" t="s">
        <v>158</v>
      </c>
      <c r="F31">
        <v>1</v>
      </c>
      <c r="G31">
        <v>1</v>
      </c>
      <c r="H31" t="s">
        <v>29</v>
      </c>
    </row>
    <row r="32" spans="1:8" x14ac:dyDescent="0.25">
      <c r="B32" t="s">
        <v>156</v>
      </c>
      <c r="C32" s="1">
        <v>45663</v>
      </c>
      <c r="D32" t="s">
        <v>170</v>
      </c>
      <c r="E32" t="s">
        <v>158</v>
      </c>
      <c r="F32">
        <v>1</v>
      </c>
      <c r="G32">
        <v>1</v>
      </c>
      <c r="H32" t="s">
        <v>30</v>
      </c>
    </row>
    <row r="33" spans="1:8" x14ac:dyDescent="0.25">
      <c r="B33" t="s">
        <v>156</v>
      </c>
      <c r="C33" s="1">
        <v>45663</v>
      </c>
      <c r="D33" t="s">
        <v>170</v>
      </c>
      <c r="E33" t="s">
        <v>158</v>
      </c>
      <c r="F33">
        <v>1</v>
      </c>
      <c r="G33">
        <v>1</v>
      </c>
      <c r="H33" t="s">
        <v>31</v>
      </c>
    </row>
    <row r="34" spans="1:8" x14ac:dyDescent="0.25">
      <c r="B34" t="s">
        <v>156</v>
      </c>
      <c r="C34" s="1">
        <v>45663</v>
      </c>
      <c r="D34" t="s">
        <v>170</v>
      </c>
      <c r="E34" t="s">
        <v>158</v>
      </c>
      <c r="F34">
        <v>1</v>
      </c>
      <c r="G34">
        <v>1</v>
      </c>
      <c r="H34" t="s">
        <v>32</v>
      </c>
    </row>
    <row r="35" spans="1:8" x14ac:dyDescent="0.25">
      <c r="B35" t="s">
        <v>156</v>
      </c>
      <c r="C35" s="1">
        <v>45663</v>
      </c>
      <c r="D35" t="s">
        <v>170</v>
      </c>
      <c r="E35" t="s">
        <v>158</v>
      </c>
      <c r="F35">
        <v>1</v>
      </c>
      <c r="G35">
        <v>1</v>
      </c>
      <c r="H35" t="s">
        <v>33</v>
      </c>
    </row>
    <row r="36" spans="1:8" x14ac:dyDescent="0.25">
      <c r="B36" t="s">
        <v>156</v>
      </c>
      <c r="C36" s="1">
        <v>45663</v>
      </c>
      <c r="D36" t="s">
        <v>170</v>
      </c>
      <c r="E36" t="s">
        <v>158</v>
      </c>
      <c r="F36">
        <v>1</v>
      </c>
      <c r="G36">
        <v>1</v>
      </c>
      <c r="H36" t="s">
        <v>34</v>
      </c>
    </row>
    <row r="37" spans="1:8" x14ac:dyDescent="0.25">
      <c r="B37" t="s">
        <v>156</v>
      </c>
      <c r="C37" s="1">
        <v>45663</v>
      </c>
      <c r="D37" t="s">
        <v>170</v>
      </c>
      <c r="E37" t="s">
        <v>158</v>
      </c>
      <c r="F37">
        <v>1</v>
      </c>
      <c r="G37">
        <v>1</v>
      </c>
      <c r="H37" t="s">
        <v>29</v>
      </c>
    </row>
    <row r="38" spans="1:8" x14ac:dyDescent="0.25">
      <c r="B38" t="s">
        <v>156</v>
      </c>
      <c r="C38" s="1">
        <v>45663</v>
      </c>
      <c r="D38" t="s">
        <v>170</v>
      </c>
      <c r="E38" t="s">
        <v>158</v>
      </c>
      <c r="F38">
        <v>1</v>
      </c>
      <c r="G38">
        <v>1</v>
      </c>
      <c r="H38" t="s">
        <v>29</v>
      </c>
    </row>
    <row r="39" spans="1:8" x14ac:dyDescent="0.25">
      <c r="B39" t="s">
        <v>156</v>
      </c>
      <c r="C39" s="1">
        <v>45663</v>
      </c>
      <c r="D39" t="s">
        <v>202</v>
      </c>
      <c r="E39" t="s">
        <v>158</v>
      </c>
      <c r="F39">
        <v>50</v>
      </c>
      <c r="G39">
        <v>50</v>
      </c>
    </row>
    <row r="40" spans="1:8" x14ac:dyDescent="0.25">
      <c r="B40" t="s">
        <v>156</v>
      </c>
      <c r="C40" s="1">
        <v>45663</v>
      </c>
      <c r="D40" t="s">
        <v>244</v>
      </c>
      <c r="E40" t="s">
        <v>158</v>
      </c>
      <c r="F40">
        <v>42</v>
      </c>
      <c r="G40">
        <v>45</v>
      </c>
    </row>
    <row r="41" spans="1:8" x14ac:dyDescent="0.25">
      <c r="B41" t="s">
        <v>156</v>
      </c>
      <c r="C41" s="1">
        <v>45663</v>
      </c>
      <c r="D41" t="s">
        <v>206</v>
      </c>
      <c r="E41" t="s">
        <v>157</v>
      </c>
      <c r="F41">
        <v>50</v>
      </c>
      <c r="G41">
        <v>12500</v>
      </c>
    </row>
    <row r="42" spans="1:8" x14ac:dyDescent="0.25">
      <c r="D42" t="s">
        <v>260</v>
      </c>
      <c r="G42" t="s">
        <v>261</v>
      </c>
    </row>
    <row r="43" spans="1:8" x14ac:dyDescent="0.25">
      <c r="B43" t="s">
        <v>262</v>
      </c>
      <c r="C43" t="s">
        <v>262</v>
      </c>
      <c r="D43" t="s">
        <v>262</v>
      </c>
      <c r="E43" t="s">
        <v>262</v>
      </c>
      <c r="F43" t="s">
        <v>262</v>
      </c>
      <c r="G43" t="s">
        <v>262</v>
      </c>
      <c r="H43" t="s">
        <v>262</v>
      </c>
    </row>
    <row r="44" spans="1:8" x14ac:dyDescent="0.25">
      <c r="B44" t="s">
        <v>255</v>
      </c>
      <c r="C44" t="s">
        <v>255</v>
      </c>
      <c r="E44" t="s">
        <v>256</v>
      </c>
      <c r="F44" t="s">
        <v>256</v>
      </c>
      <c r="H44" t="s">
        <v>257</v>
      </c>
    </row>
    <row r="45" spans="1:8" x14ac:dyDescent="0.25">
      <c r="B45" t="e">
        <v>#VALUE!</v>
      </c>
      <c r="C45" t="e">
        <v>#VALUE!</v>
      </c>
      <c r="D45" t="e">
        <v>#VALUE!</v>
      </c>
      <c r="E45" t="s">
        <v>249</v>
      </c>
      <c r="F45" t="s">
        <v>249</v>
      </c>
      <c r="G45" t="s">
        <v>249</v>
      </c>
      <c r="H45" t="s">
        <v>249</v>
      </c>
    </row>
    <row r="46" spans="1:8" x14ac:dyDescent="0.25">
      <c r="B46" t="s">
        <v>251</v>
      </c>
      <c r="C46" t="s">
        <v>159</v>
      </c>
      <c r="D46" t="s">
        <v>157</v>
      </c>
      <c r="E46" t="s">
        <v>157</v>
      </c>
      <c r="F46" t="s">
        <v>160</v>
      </c>
      <c r="G46" t="s">
        <v>259</v>
      </c>
      <c r="H46" t="s">
        <v>176</v>
      </c>
    </row>
    <row r="47" spans="1:8" x14ac:dyDescent="0.25">
      <c r="B47" t="s">
        <v>156</v>
      </c>
      <c r="C47" s="1">
        <v>45664</v>
      </c>
      <c r="D47" t="s">
        <v>180</v>
      </c>
      <c r="E47" t="s">
        <v>158</v>
      </c>
      <c r="F47">
        <v>50</v>
      </c>
      <c r="G47">
        <v>5000</v>
      </c>
    </row>
    <row r="48" spans="1:8" x14ac:dyDescent="0.25">
      <c r="B48" t="s">
        <v>156</v>
      </c>
      <c r="C48" s="1">
        <v>45664</v>
      </c>
      <c r="D48" t="s">
        <v>184</v>
      </c>
      <c r="E48" t="s">
        <v>158</v>
      </c>
      <c r="F48">
        <v>42</v>
      </c>
      <c r="G48">
        <v>2100</v>
      </c>
    </row>
    <row r="49" spans="1:8" x14ac:dyDescent="0.25">
      <c r="B49" t="s">
        <v>156</v>
      </c>
      <c r="C49" s="1">
        <v>45664</v>
      </c>
      <c r="D49" t="s">
        <v>184</v>
      </c>
      <c r="E49" t="s">
        <v>158</v>
      </c>
      <c r="F49">
        <v>50</v>
      </c>
      <c r="G49">
        <v>50</v>
      </c>
    </row>
    <row r="50" spans="1:8" x14ac:dyDescent="0.25">
      <c r="B50" t="s">
        <v>156</v>
      </c>
      <c r="C50" s="1">
        <v>45664</v>
      </c>
      <c r="D50" t="s">
        <v>219</v>
      </c>
      <c r="E50" t="s">
        <v>158</v>
      </c>
      <c r="F50">
        <v>42</v>
      </c>
      <c r="G50">
        <v>5880</v>
      </c>
    </row>
    <row r="51" spans="1:8" x14ac:dyDescent="0.25">
      <c r="B51" t="s">
        <v>156</v>
      </c>
      <c r="C51" s="1">
        <v>45664</v>
      </c>
      <c r="D51" t="s">
        <v>227</v>
      </c>
      <c r="E51" t="s">
        <v>158</v>
      </c>
      <c r="F51">
        <v>50</v>
      </c>
      <c r="G51">
        <v>200</v>
      </c>
    </row>
    <row r="52" spans="1:8" x14ac:dyDescent="0.25">
      <c r="B52" t="s">
        <v>156</v>
      </c>
      <c r="C52" s="1">
        <v>45664</v>
      </c>
      <c r="D52" t="s">
        <v>209</v>
      </c>
      <c r="E52" t="s">
        <v>174</v>
      </c>
      <c r="F52">
        <v>1</v>
      </c>
      <c r="G52">
        <v>140</v>
      </c>
      <c r="H52" t="s">
        <v>29</v>
      </c>
    </row>
    <row r="53" spans="1:8" x14ac:dyDescent="0.25">
      <c r="B53" t="s">
        <v>156</v>
      </c>
      <c r="C53" s="1">
        <v>45664</v>
      </c>
      <c r="D53" t="s">
        <v>209</v>
      </c>
      <c r="E53" t="s">
        <v>174</v>
      </c>
      <c r="F53">
        <v>1</v>
      </c>
      <c r="G53">
        <v>140</v>
      </c>
      <c r="H53" t="s">
        <v>31</v>
      </c>
    </row>
    <row r="54" spans="1:8" x14ac:dyDescent="0.25">
      <c r="B54" t="s">
        <v>156</v>
      </c>
      <c r="C54" s="1">
        <v>45664</v>
      </c>
      <c r="D54" t="s">
        <v>209</v>
      </c>
      <c r="E54" t="s">
        <v>174</v>
      </c>
      <c r="F54">
        <v>1</v>
      </c>
      <c r="G54">
        <v>140</v>
      </c>
      <c r="H54" t="s">
        <v>114</v>
      </c>
    </row>
    <row r="55" spans="1:8" x14ac:dyDescent="0.25">
      <c r="B55" t="s">
        <v>156</v>
      </c>
      <c r="C55" s="1">
        <v>45664</v>
      </c>
      <c r="D55" t="s">
        <v>209</v>
      </c>
      <c r="E55" t="s">
        <v>174</v>
      </c>
      <c r="F55">
        <v>1</v>
      </c>
      <c r="G55">
        <v>140</v>
      </c>
      <c r="H55" t="s">
        <v>32</v>
      </c>
    </row>
    <row r="56" spans="1:8" x14ac:dyDescent="0.25">
      <c r="B56" t="s">
        <v>156</v>
      </c>
      <c r="C56" s="1">
        <v>45664</v>
      </c>
      <c r="D56" t="s">
        <v>209</v>
      </c>
      <c r="E56" t="s">
        <v>174</v>
      </c>
      <c r="F56">
        <v>1</v>
      </c>
      <c r="G56">
        <v>140</v>
      </c>
      <c r="H56" t="s">
        <v>29</v>
      </c>
    </row>
    <row r="57" spans="1:8" x14ac:dyDescent="0.25">
      <c r="B57" t="s">
        <v>156</v>
      </c>
      <c r="C57" s="1">
        <v>45664</v>
      </c>
      <c r="D57" t="s">
        <v>209</v>
      </c>
      <c r="E57" t="s">
        <v>174</v>
      </c>
      <c r="F57">
        <v>1</v>
      </c>
      <c r="G57">
        <v>140</v>
      </c>
      <c r="H57" t="s">
        <v>114</v>
      </c>
    </row>
    <row r="58" spans="1:8" x14ac:dyDescent="0.25">
      <c r="B58" t="s">
        <v>156</v>
      </c>
      <c r="C58" s="1">
        <v>45664</v>
      </c>
      <c r="D58" t="s">
        <v>209</v>
      </c>
      <c r="E58" t="s">
        <v>174</v>
      </c>
      <c r="F58">
        <v>1</v>
      </c>
      <c r="G58">
        <v>140</v>
      </c>
      <c r="H58" t="s">
        <v>29</v>
      </c>
    </row>
    <row r="59" spans="1:8" x14ac:dyDescent="0.25">
      <c r="B59" t="s">
        <v>156</v>
      </c>
      <c r="C59" s="1">
        <v>45664</v>
      </c>
      <c r="D59" t="s">
        <v>209</v>
      </c>
      <c r="E59" t="s">
        <v>174</v>
      </c>
      <c r="F59">
        <v>1</v>
      </c>
      <c r="G59">
        <v>140</v>
      </c>
      <c r="H59" t="s">
        <v>29</v>
      </c>
    </row>
    <row r="60" spans="1:8" x14ac:dyDescent="0.25">
      <c r="B60" t="s">
        <v>156</v>
      </c>
      <c r="C60" s="1">
        <v>45664</v>
      </c>
      <c r="D60" t="s">
        <v>185</v>
      </c>
      <c r="E60" t="s">
        <v>158</v>
      </c>
      <c r="F60">
        <v>42</v>
      </c>
      <c r="G60">
        <v>42</v>
      </c>
    </row>
    <row r="61" spans="1:8" x14ac:dyDescent="0.25">
      <c r="B61" t="s">
        <v>156</v>
      </c>
      <c r="C61" s="1">
        <v>45664</v>
      </c>
      <c r="D61" t="s">
        <v>194</v>
      </c>
      <c r="E61" t="s">
        <v>158</v>
      </c>
      <c r="F61">
        <v>50</v>
      </c>
      <c r="G61">
        <v>50</v>
      </c>
    </row>
    <row r="62" spans="1:8" x14ac:dyDescent="0.25">
      <c r="B62" t="s">
        <v>156</v>
      </c>
      <c r="C62" s="1">
        <v>45664</v>
      </c>
      <c r="D62" t="s">
        <v>228</v>
      </c>
      <c r="E62" t="s">
        <v>174</v>
      </c>
      <c r="F62">
        <v>1</v>
      </c>
      <c r="G62">
        <v>1</v>
      </c>
      <c r="H62" t="s">
        <v>29</v>
      </c>
    </row>
    <row r="63" spans="1:8" x14ac:dyDescent="0.25">
      <c r="B63" t="s">
        <v>156</v>
      </c>
      <c r="C63" s="1">
        <v>45664</v>
      </c>
      <c r="D63" t="s">
        <v>228</v>
      </c>
      <c r="E63" t="s">
        <v>174</v>
      </c>
      <c r="F63">
        <v>1</v>
      </c>
      <c r="G63">
        <v>1</v>
      </c>
      <c r="H63" t="s">
        <v>31</v>
      </c>
    </row>
    <row r="64" spans="1:8" x14ac:dyDescent="0.25">
      <c r="B64" t="s">
        <v>156</v>
      </c>
      <c r="C64" s="1">
        <v>45664</v>
      </c>
      <c r="D64" t="s">
        <v>228</v>
      </c>
      <c r="E64" t="s">
        <v>174</v>
      </c>
      <c r="F64">
        <v>1</v>
      </c>
      <c r="G64">
        <v>1</v>
      </c>
      <c r="H64" t="s">
        <v>114</v>
      </c>
    </row>
    <row r="65" spans="1:8" x14ac:dyDescent="0.25">
      <c r="B65" t="s">
        <v>156</v>
      </c>
      <c r="C65" s="1">
        <v>45664</v>
      </c>
      <c r="D65" t="s">
        <v>228</v>
      </c>
      <c r="E65" t="s">
        <v>174</v>
      </c>
      <c r="F65">
        <v>1</v>
      </c>
      <c r="G65">
        <v>1</v>
      </c>
      <c r="H65" t="s">
        <v>32</v>
      </c>
    </row>
    <row r="66" spans="1:8" x14ac:dyDescent="0.25">
      <c r="B66" t="s">
        <v>156</v>
      </c>
      <c r="C66" s="1">
        <v>45664</v>
      </c>
      <c r="D66" t="s">
        <v>228</v>
      </c>
      <c r="E66" t="s">
        <v>174</v>
      </c>
      <c r="F66">
        <v>1</v>
      </c>
      <c r="G66">
        <v>1</v>
      </c>
      <c r="H66" t="s">
        <v>29</v>
      </c>
    </row>
    <row r="67" spans="1:8" x14ac:dyDescent="0.25">
      <c r="B67" t="s">
        <v>156</v>
      </c>
      <c r="C67" s="1">
        <v>45664</v>
      </c>
      <c r="D67" t="s">
        <v>228</v>
      </c>
      <c r="E67" t="s">
        <v>174</v>
      </c>
      <c r="F67">
        <v>1</v>
      </c>
      <c r="G67">
        <v>1</v>
      </c>
      <c r="H67" t="s">
        <v>114</v>
      </c>
    </row>
    <row r="68" spans="1:8" x14ac:dyDescent="0.25">
      <c r="B68" t="s">
        <v>156</v>
      </c>
      <c r="C68" s="1">
        <v>45664</v>
      </c>
      <c r="D68" t="s">
        <v>228</v>
      </c>
      <c r="E68" t="s">
        <v>174</v>
      </c>
      <c r="F68">
        <v>1</v>
      </c>
      <c r="G68">
        <v>1</v>
      </c>
      <c r="H68" t="s">
        <v>29</v>
      </c>
    </row>
    <row r="69" spans="1:8" x14ac:dyDescent="0.25">
      <c r="B69" t="s">
        <v>156</v>
      </c>
      <c r="C69" s="1">
        <v>45664</v>
      </c>
      <c r="D69" t="s">
        <v>228</v>
      </c>
      <c r="E69" t="s">
        <v>174</v>
      </c>
      <c r="F69">
        <v>1</v>
      </c>
      <c r="G69">
        <v>1</v>
      </c>
      <c r="H69" t="s">
        <v>29</v>
      </c>
    </row>
    <row r="70" spans="1:8" x14ac:dyDescent="0.25">
      <c r="B70" t="s">
        <v>156</v>
      </c>
      <c r="C70" s="1">
        <v>45664</v>
      </c>
      <c r="D70" t="s">
        <v>187</v>
      </c>
      <c r="E70" t="s">
        <v>157</v>
      </c>
      <c r="F70">
        <v>49</v>
      </c>
      <c r="G70">
        <v>12250</v>
      </c>
    </row>
    <row r="71" spans="1:8" x14ac:dyDescent="0.25">
      <c r="B71" t="s">
        <v>156</v>
      </c>
      <c r="C71" s="1">
        <v>45664</v>
      </c>
      <c r="D71" t="s">
        <v>195</v>
      </c>
      <c r="E71" t="s">
        <v>210</v>
      </c>
      <c r="F71">
        <v>1</v>
      </c>
      <c r="G71">
        <v>250</v>
      </c>
      <c r="H71" t="s">
        <v>212</v>
      </c>
    </row>
    <row r="72" spans="1:8" x14ac:dyDescent="0.25">
      <c r="B72" t="s">
        <v>156</v>
      </c>
      <c r="C72" s="1">
        <v>45665</v>
      </c>
      <c r="D72" t="s">
        <v>159</v>
      </c>
      <c r="E72" t="s">
        <v>158</v>
      </c>
      <c r="F72">
        <v>48</v>
      </c>
      <c r="G72">
        <v>12000</v>
      </c>
    </row>
    <row r="73" spans="1:8" x14ac:dyDescent="0.25">
      <c r="B73" t="s">
        <v>156</v>
      </c>
      <c r="C73" s="1">
        <v>45665</v>
      </c>
      <c r="D73" t="s">
        <v>195</v>
      </c>
      <c r="E73" t="s">
        <v>158</v>
      </c>
      <c r="F73">
        <v>50</v>
      </c>
      <c r="G73">
        <v>50</v>
      </c>
    </row>
    <row r="74" spans="1:8" x14ac:dyDescent="0.25">
      <c r="B74" t="s">
        <v>156</v>
      </c>
      <c r="C74" s="1">
        <v>45665</v>
      </c>
      <c r="D74" t="s">
        <v>173</v>
      </c>
      <c r="E74" t="s">
        <v>158</v>
      </c>
      <c r="F74">
        <v>49</v>
      </c>
      <c r="G74">
        <v>4900</v>
      </c>
    </row>
    <row r="75" spans="1:8" x14ac:dyDescent="0.25">
      <c r="B75" t="s">
        <v>156</v>
      </c>
      <c r="C75" s="1">
        <v>45665</v>
      </c>
      <c r="D75" t="s">
        <v>227</v>
      </c>
      <c r="E75" t="s">
        <v>158</v>
      </c>
      <c r="F75">
        <v>50</v>
      </c>
      <c r="G75">
        <v>200</v>
      </c>
    </row>
    <row r="76" spans="1:8" x14ac:dyDescent="0.25">
      <c r="B76" t="s">
        <v>156</v>
      </c>
      <c r="C76" s="1">
        <v>45665</v>
      </c>
      <c r="D76" t="s">
        <v>193</v>
      </c>
      <c r="E76" t="s">
        <v>174</v>
      </c>
      <c r="F76">
        <v>1</v>
      </c>
      <c r="G76">
        <v>100</v>
      </c>
      <c r="H76" t="s">
        <v>64</v>
      </c>
    </row>
    <row r="77" spans="1:8" x14ac:dyDescent="0.25">
      <c r="B77" t="s">
        <v>156</v>
      </c>
      <c r="C77" s="1">
        <v>45665</v>
      </c>
      <c r="D77" t="s">
        <v>195</v>
      </c>
      <c r="E77" t="s">
        <v>174</v>
      </c>
      <c r="F77">
        <v>1</v>
      </c>
      <c r="G77">
        <v>250</v>
      </c>
      <c r="H77" t="s">
        <v>100</v>
      </c>
    </row>
    <row r="78" spans="1:8" x14ac:dyDescent="0.25">
      <c r="B78" t="s">
        <v>156</v>
      </c>
      <c r="C78" s="1">
        <v>45665</v>
      </c>
      <c r="D78" t="s">
        <v>195</v>
      </c>
      <c r="E78" t="s">
        <v>174</v>
      </c>
      <c r="F78">
        <v>1</v>
      </c>
      <c r="G78">
        <v>250</v>
      </c>
      <c r="H78" t="s">
        <v>101</v>
      </c>
    </row>
    <row r="79" spans="1:8" x14ac:dyDescent="0.25">
      <c r="B79" t="s">
        <v>156</v>
      </c>
      <c r="C79" s="1">
        <v>45665</v>
      </c>
      <c r="D79" t="s">
        <v>176</v>
      </c>
      <c r="E79" t="s">
        <v>158</v>
      </c>
      <c r="F79">
        <v>50</v>
      </c>
      <c r="G79">
        <v>50</v>
      </c>
    </row>
    <row r="80" spans="1:8" x14ac:dyDescent="0.25">
      <c r="B80" t="s">
        <v>156</v>
      </c>
      <c r="C80" s="1">
        <v>45665</v>
      </c>
      <c r="D80" t="s">
        <v>228</v>
      </c>
      <c r="E80" t="s">
        <v>158</v>
      </c>
      <c r="F80">
        <v>50</v>
      </c>
      <c r="G80">
        <v>50</v>
      </c>
    </row>
    <row r="81" spans="1:8" x14ac:dyDescent="0.25">
      <c r="B81" t="s">
        <v>156</v>
      </c>
      <c r="C81" s="1">
        <v>45665</v>
      </c>
      <c r="D81" t="s">
        <v>226</v>
      </c>
      <c r="E81" t="s">
        <v>157</v>
      </c>
      <c r="F81">
        <v>43</v>
      </c>
      <c r="G81">
        <v>10750</v>
      </c>
    </row>
    <row r="82" spans="1:8" x14ac:dyDescent="0.25">
      <c r="B82" t="s">
        <v>156</v>
      </c>
      <c r="C82" s="1">
        <v>45665</v>
      </c>
      <c r="D82" t="s">
        <v>195</v>
      </c>
      <c r="E82" t="s">
        <v>210</v>
      </c>
      <c r="F82">
        <v>1</v>
      </c>
      <c r="G82">
        <v>250</v>
      </c>
      <c r="H82" t="s">
        <v>29</v>
      </c>
    </row>
    <row r="83" spans="1:8" x14ac:dyDescent="0.25">
      <c r="B83" t="s">
        <v>156</v>
      </c>
      <c r="C83" s="1">
        <v>45665</v>
      </c>
      <c r="D83" t="s">
        <v>195</v>
      </c>
      <c r="E83" t="s">
        <v>210</v>
      </c>
      <c r="F83">
        <v>1</v>
      </c>
      <c r="G83">
        <v>250</v>
      </c>
      <c r="H83" t="s">
        <v>31</v>
      </c>
    </row>
    <row r="84" spans="1:8" x14ac:dyDescent="0.25">
      <c r="B84" t="s">
        <v>156</v>
      </c>
      <c r="C84" s="1">
        <v>45665</v>
      </c>
      <c r="D84" t="s">
        <v>195</v>
      </c>
      <c r="E84" t="s">
        <v>210</v>
      </c>
      <c r="F84">
        <v>1</v>
      </c>
      <c r="G84">
        <v>250</v>
      </c>
      <c r="H84" t="s">
        <v>103</v>
      </c>
    </row>
    <row r="85" spans="1:8" x14ac:dyDescent="0.25">
      <c r="B85" t="s">
        <v>156</v>
      </c>
      <c r="C85" s="1">
        <v>45665</v>
      </c>
      <c r="D85" t="s">
        <v>195</v>
      </c>
      <c r="E85" t="s">
        <v>210</v>
      </c>
      <c r="F85">
        <v>1</v>
      </c>
      <c r="G85">
        <v>250</v>
      </c>
      <c r="H85" t="s">
        <v>32</v>
      </c>
    </row>
    <row r="86" spans="1:8" x14ac:dyDescent="0.25">
      <c r="B86" t="s">
        <v>156</v>
      </c>
      <c r="C86" s="1">
        <v>45665</v>
      </c>
      <c r="D86" t="s">
        <v>195</v>
      </c>
      <c r="E86" t="s">
        <v>210</v>
      </c>
      <c r="F86">
        <v>1</v>
      </c>
      <c r="G86">
        <v>250</v>
      </c>
      <c r="H86" t="s">
        <v>29</v>
      </c>
    </row>
    <row r="87" spans="1:8" x14ac:dyDescent="0.25">
      <c r="B87" t="s">
        <v>156</v>
      </c>
      <c r="C87" s="1">
        <v>45665</v>
      </c>
      <c r="D87" t="s">
        <v>195</v>
      </c>
      <c r="E87" t="s">
        <v>210</v>
      </c>
      <c r="F87">
        <v>1</v>
      </c>
      <c r="G87">
        <v>250</v>
      </c>
      <c r="H87" t="s">
        <v>29</v>
      </c>
    </row>
    <row r="88" spans="1:8" x14ac:dyDescent="0.25">
      <c r="B88" t="s">
        <v>156</v>
      </c>
      <c r="C88" s="1">
        <v>45665</v>
      </c>
      <c r="D88" t="s">
        <v>195</v>
      </c>
      <c r="E88" t="s">
        <v>210</v>
      </c>
      <c r="F88">
        <v>1</v>
      </c>
      <c r="G88">
        <v>250</v>
      </c>
      <c r="H88" t="s">
        <v>29</v>
      </c>
    </row>
    <row r="89" spans="1:8" x14ac:dyDescent="0.25">
      <c r="B89" t="s">
        <v>156</v>
      </c>
      <c r="C89" s="1">
        <v>45666</v>
      </c>
      <c r="D89" t="s">
        <v>171</v>
      </c>
      <c r="E89" t="s">
        <v>158</v>
      </c>
      <c r="F89">
        <v>49</v>
      </c>
      <c r="G89">
        <v>5880</v>
      </c>
    </row>
    <row r="90" spans="1:8" x14ac:dyDescent="0.25">
      <c r="B90" t="s">
        <v>156</v>
      </c>
      <c r="C90" s="1">
        <v>45666</v>
      </c>
      <c r="D90" t="s">
        <v>171</v>
      </c>
      <c r="E90" t="s">
        <v>158</v>
      </c>
      <c r="F90">
        <v>1</v>
      </c>
      <c r="G90">
        <v>120</v>
      </c>
      <c r="H90" t="s">
        <v>72</v>
      </c>
    </row>
    <row r="91" spans="1:8" x14ac:dyDescent="0.25">
      <c r="B91" t="s">
        <v>156</v>
      </c>
      <c r="C91" s="1">
        <v>45666</v>
      </c>
      <c r="D91" t="s">
        <v>194</v>
      </c>
      <c r="E91" t="s">
        <v>158</v>
      </c>
      <c r="F91">
        <v>49</v>
      </c>
      <c r="G91">
        <v>49</v>
      </c>
    </row>
    <row r="92" spans="1:8" x14ac:dyDescent="0.25">
      <c r="B92" t="s">
        <v>156</v>
      </c>
      <c r="C92" s="1">
        <v>45666</v>
      </c>
      <c r="D92" t="s">
        <v>158</v>
      </c>
      <c r="E92" t="s">
        <v>158</v>
      </c>
      <c r="F92">
        <v>50</v>
      </c>
      <c r="G92">
        <v>2500</v>
      </c>
    </row>
    <row r="93" spans="1:8" x14ac:dyDescent="0.25">
      <c r="B93" t="s">
        <v>156</v>
      </c>
      <c r="C93" s="1">
        <v>45666</v>
      </c>
      <c r="D93" t="s">
        <v>208</v>
      </c>
      <c r="E93" t="s">
        <v>158</v>
      </c>
      <c r="F93">
        <v>50</v>
      </c>
      <c r="G93">
        <v>4500</v>
      </c>
    </row>
    <row r="94" spans="1:8" x14ac:dyDescent="0.25">
      <c r="B94" t="s">
        <v>156</v>
      </c>
      <c r="C94" s="1">
        <v>45666</v>
      </c>
      <c r="D94" t="s">
        <v>221</v>
      </c>
      <c r="E94" t="s">
        <v>158</v>
      </c>
      <c r="F94">
        <v>50</v>
      </c>
      <c r="G94">
        <v>5000</v>
      </c>
    </row>
    <row r="95" spans="1:8" x14ac:dyDescent="0.25">
      <c r="B95" t="s">
        <v>156</v>
      </c>
      <c r="C95" s="1">
        <v>45666</v>
      </c>
      <c r="D95" t="s">
        <v>200</v>
      </c>
      <c r="E95" t="s">
        <v>174</v>
      </c>
      <c r="F95">
        <v>1</v>
      </c>
      <c r="G95">
        <v>1</v>
      </c>
      <c r="H95" t="s">
        <v>33</v>
      </c>
    </row>
    <row r="96" spans="1:8" x14ac:dyDescent="0.25">
      <c r="B96" t="s">
        <v>156</v>
      </c>
      <c r="C96" s="1">
        <v>45666</v>
      </c>
      <c r="D96" t="s">
        <v>205</v>
      </c>
      <c r="E96" t="s">
        <v>158</v>
      </c>
      <c r="F96">
        <v>50</v>
      </c>
      <c r="G96">
        <v>50</v>
      </c>
    </row>
    <row r="97" spans="1:8" x14ac:dyDescent="0.25">
      <c r="B97" t="s">
        <v>156</v>
      </c>
      <c r="C97" s="1">
        <v>45666</v>
      </c>
      <c r="D97" t="s">
        <v>241</v>
      </c>
      <c r="E97" t="s">
        <v>158</v>
      </c>
      <c r="F97">
        <v>49</v>
      </c>
      <c r="G97">
        <v>49</v>
      </c>
    </row>
    <row r="98" spans="1:8" x14ac:dyDescent="0.25">
      <c r="B98" t="s">
        <v>156</v>
      </c>
      <c r="C98" s="1">
        <v>45666</v>
      </c>
      <c r="D98" t="s">
        <v>198</v>
      </c>
      <c r="E98" t="s">
        <v>174</v>
      </c>
      <c r="F98">
        <v>1</v>
      </c>
      <c r="G98">
        <v>1</v>
      </c>
      <c r="H98" t="s">
        <v>33</v>
      </c>
    </row>
    <row r="99" spans="1:8" x14ac:dyDescent="0.25">
      <c r="B99" t="s">
        <v>156</v>
      </c>
      <c r="C99" s="1">
        <v>45666</v>
      </c>
      <c r="D99" t="s">
        <v>183</v>
      </c>
      <c r="E99" t="s">
        <v>157</v>
      </c>
      <c r="F99">
        <v>43</v>
      </c>
      <c r="G99">
        <v>10750</v>
      </c>
    </row>
    <row r="100" spans="1:8" x14ac:dyDescent="0.25">
      <c r="B100" t="s">
        <v>156</v>
      </c>
      <c r="C100" s="1">
        <v>45666</v>
      </c>
      <c r="D100" t="s">
        <v>195</v>
      </c>
      <c r="E100" t="s">
        <v>210</v>
      </c>
      <c r="F100">
        <v>1</v>
      </c>
      <c r="G100">
        <v>250</v>
      </c>
      <c r="H100" t="s">
        <v>64</v>
      </c>
    </row>
    <row r="101" spans="1:8" x14ac:dyDescent="0.25">
      <c r="B101" t="s">
        <v>156</v>
      </c>
      <c r="C101" s="1">
        <v>45666</v>
      </c>
      <c r="D101" t="s">
        <v>195</v>
      </c>
      <c r="E101" t="s">
        <v>210</v>
      </c>
      <c r="F101">
        <v>1</v>
      </c>
      <c r="G101">
        <v>250</v>
      </c>
      <c r="H101" t="s">
        <v>31</v>
      </c>
    </row>
    <row r="102" spans="1:8" x14ac:dyDescent="0.25">
      <c r="B102" t="s">
        <v>156</v>
      </c>
      <c r="C102" s="1">
        <v>45666</v>
      </c>
      <c r="D102" t="s">
        <v>195</v>
      </c>
      <c r="E102" t="s">
        <v>210</v>
      </c>
      <c r="F102">
        <v>1</v>
      </c>
      <c r="G102">
        <v>250</v>
      </c>
      <c r="H102" t="s">
        <v>211</v>
      </c>
    </row>
    <row r="103" spans="1:8" x14ac:dyDescent="0.25">
      <c r="B103" t="s">
        <v>156</v>
      </c>
      <c r="C103" s="1">
        <v>45666</v>
      </c>
      <c r="D103" t="s">
        <v>195</v>
      </c>
      <c r="E103" t="s">
        <v>210</v>
      </c>
      <c r="F103">
        <v>1</v>
      </c>
      <c r="G103">
        <v>250</v>
      </c>
      <c r="H103" t="s">
        <v>33</v>
      </c>
    </row>
    <row r="104" spans="1:8" x14ac:dyDescent="0.25">
      <c r="B104" t="s">
        <v>156</v>
      </c>
      <c r="C104" s="1">
        <v>45666</v>
      </c>
      <c r="D104" t="s">
        <v>195</v>
      </c>
      <c r="E104" t="s">
        <v>210</v>
      </c>
      <c r="F104">
        <v>1</v>
      </c>
      <c r="G104">
        <v>250</v>
      </c>
      <c r="H104" t="s">
        <v>69</v>
      </c>
    </row>
    <row r="105" spans="1:8" x14ac:dyDescent="0.25">
      <c r="B105" t="s">
        <v>156</v>
      </c>
      <c r="C105" s="1">
        <v>45666</v>
      </c>
      <c r="D105" t="s">
        <v>195</v>
      </c>
      <c r="E105" t="s">
        <v>210</v>
      </c>
      <c r="F105">
        <v>1</v>
      </c>
      <c r="G105">
        <v>250</v>
      </c>
      <c r="H105" t="s">
        <v>29</v>
      </c>
    </row>
    <row r="106" spans="1:8" x14ac:dyDescent="0.25">
      <c r="B106" t="s">
        <v>156</v>
      </c>
      <c r="C106" s="1">
        <v>45666</v>
      </c>
      <c r="D106" t="s">
        <v>195</v>
      </c>
      <c r="E106" t="s">
        <v>210</v>
      </c>
      <c r="F106">
        <v>1</v>
      </c>
      <c r="G106">
        <v>250</v>
      </c>
      <c r="H106" t="s">
        <v>29</v>
      </c>
    </row>
    <row r="107" spans="1:8" x14ac:dyDescent="0.25">
      <c r="B107" t="s">
        <v>156</v>
      </c>
      <c r="C107" s="1">
        <v>45667</v>
      </c>
      <c r="D107" t="s">
        <v>171</v>
      </c>
      <c r="E107" t="s">
        <v>158</v>
      </c>
      <c r="F107">
        <v>12</v>
      </c>
      <c r="G107">
        <v>1440</v>
      </c>
    </row>
    <row r="108" spans="1:8" x14ac:dyDescent="0.25">
      <c r="B108" t="s">
        <v>156</v>
      </c>
      <c r="C108" s="1">
        <v>45667</v>
      </c>
      <c r="D108" t="s">
        <v>194</v>
      </c>
      <c r="E108" t="s">
        <v>158</v>
      </c>
      <c r="F108">
        <v>12</v>
      </c>
      <c r="G108">
        <v>12</v>
      </c>
    </row>
    <row r="109" spans="1:8" x14ac:dyDescent="0.25">
      <c r="B109" t="s">
        <v>156</v>
      </c>
      <c r="C109" s="1">
        <v>45667</v>
      </c>
      <c r="D109" t="s">
        <v>158</v>
      </c>
      <c r="E109" t="s">
        <v>158</v>
      </c>
      <c r="F109">
        <v>12</v>
      </c>
      <c r="G109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 W3</vt:lpstr>
      <vt:lpstr>Labels W1 01.05</vt:lpstr>
      <vt:lpstr>PS MIYM W1 1.12</vt:lpstr>
      <vt:lpstr>PS CHATS W1 1.05</vt:lpstr>
      <vt:lpstr>PS CHATS W1 1.07</vt:lpstr>
      <vt:lpstr>SMH 1.05 to 1.09</vt:lpstr>
      <vt:lpstr>SLEC 1.05 and 1.07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